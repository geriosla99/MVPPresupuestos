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 del Evaluador" sheetId="2" state="visible" r:id="rId4"/>
    <sheet name="Casos de Uso" sheetId="3" state="visible" r:id="rId5"/>
    <sheet name="Cuestionario SUS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<sst xmlns="http://schemas.openxmlformats.org/spreadsheetml/2006/main" count="259" uniqueCount="235">
  <si>
    <t xml:space="preserve">EVALUACIÓN DE PROTOTIPO – TuPresupuesto</t>
  </si>
  <si>
    <t xml:space="preserve">Matriz de casos de uso para usuarios evaluadores</t>
  </si>
  <si>
    <t xml:space="preserve">OBJETIVO</t>
  </si>
  <si>
    <t xml:space="preserve">Evaluar el prototipo de la aplicación web 'TuPresupuesto' a través de la ejecución de casos de uso por parte de usuarios reales (no técnicos), con el fin de validar la funcionalidad, usabilidad y diseño visual de cada módulo.</t>
  </si>
  <si>
    <t xml:space="preserve">ALCANCE</t>
  </si>
  <si>
    <t xml:space="preserve">Se evaluarán los siguientes módulos: Autenticación (Registro / Inicio de sesión), Dashboard, Ingresos, Gastos, Metas de ahorro, Presupuesto y aspectos generales (responsividad y experiencia de uso).</t>
  </si>
  <si>
    <t xml:space="preserve">INSTRUCCIONES PARA EL EVALUADOR</t>
  </si>
  <si>
    <t xml:space="preserve">1.</t>
  </si>
  <si>
    <t xml:space="preserve">Diligencia tus datos en la hoja 'Datos del Evaluador'.</t>
  </si>
  <si>
    <t xml:space="preserve">2.</t>
  </si>
  <si>
    <t xml:space="preserve">Abre el prototipo de TuPresupuesto desde tu navegador (escritorio o móvil).</t>
  </si>
  <si>
    <t xml:space="preserve">3.</t>
  </si>
  <si>
    <t xml:space="preserve">Ve a la hoja 'Casos de Uso' y ejecuta cada caso siguiendo los pasos descritos.</t>
  </si>
  <si>
    <t xml:space="preserve">4.</t>
  </si>
  <si>
    <t xml:space="preserve">Para cada caso registra: ¿Cumple? (Sí / No / Parcial), las calificaciones de Funcionalidad, Usabilidad y Diseño (escala 1–5) y tus Observaciones.</t>
  </si>
  <si>
    <t xml:space="preserve">5.</t>
  </si>
  <si>
    <t xml:space="preserve">Una vez termines, responde el 'Cuestionario SUS' de usabilidad.</t>
  </si>
  <si>
    <t xml:space="preserve">6.</t>
  </si>
  <si>
    <t xml:space="preserve">Revisa la hoja 'Resumen' donde se calculan automáticamente los resultados.</t>
  </si>
  <si>
    <t xml:space="preserve">ESCALA DE CALIFICACIÓN (1 a 5)</t>
  </si>
  <si>
    <t xml:space="preserve">5</t>
  </si>
  <si>
    <t xml:space="preserve">Excelente – Cumple totalmente con lo esperado, sin dificultad.</t>
  </si>
  <si>
    <t xml:space="preserve">4</t>
  </si>
  <si>
    <t xml:space="preserve">Bueno – Cumple con pequeñas observaciones.</t>
  </si>
  <si>
    <t xml:space="preserve">3</t>
  </si>
  <si>
    <t xml:space="preserve">Aceptable – Funciona, pero requiere mejoras.</t>
  </si>
  <si>
    <t xml:space="preserve">2</t>
  </si>
  <si>
    <t xml:space="preserve">Deficiente – Presenta problemas importantes.</t>
  </si>
  <si>
    <t xml:space="preserve">1</t>
  </si>
  <si>
    <t xml:space="preserve">Muy deficiente – No cumple o resulta confuso.</t>
  </si>
  <si>
    <t xml:space="preserve">CRITERIOS DE ¿CUMPLE?</t>
  </si>
  <si>
    <t xml:space="preserve">Sí</t>
  </si>
  <si>
    <t xml:space="preserve">El resultado obtenido coincide con el resultado esperado.</t>
  </si>
  <si>
    <t xml:space="preserve">Parcial</t>
  </si>
  <si>
    <t xml:space="preserve">El resultado se obtiene parcialmente o con dificultad.</t>
  </si>
  <si>
    <t xml:space="preserve">No</t>
  </si>
  <si>
    <t xml:space="preserve">El resultado no se obtiene o presenta un error.</t>
  </si>
  <si>
    <t xml:space="preserve">DATOS DEL EVALUADOR</t>
  </si>
  <si>
    <t xml:space="preserve">Nombre completo</t>
  </si>
  <si>
    <t xml:space="preserve">Edad</t>
  </si>
  <si>
    <t xml:space="preserve">Ocupación</t>
  </si>
  <si>
    <t xml:space="preserve">Nivel de uso de tecnología (Bajo / Medio / Alto)</t>
  </si>
  <si>
    <t xml:space="preserve">¿Has usado apps de finanzas antes?</t>
  </si>
  <si>
    <t xml:space="preserve">Dispositivo utilizado (PC / Tablet / Móvil)</t>
  </si>
  <si>
    <t xml:space="preserve">Navegador utilizado</t>
  </si>
  <si>
    <t xml:space="preserve">Fecha de la evaluación</t>
  </si>
  <si>
    <t xml:space="preserve">MATRIZ DE CASOS DE USO – TuPresupuesto</t>
  </si>
  <si>
    <t xml:space="preserve">ID</t>
  </si>
  <si>
    <t xml:space="preserve">Módulo</t>
  </si>
  <si>
    <t xml:space="preserve">Caso de uso</t>
  </si>
  <si>
    <t xml:space="preserve">Objetivo</t>
  </si>
  <si>
    <t xml:space="preserve">Precondiciones</t>
  </si>
  <si>
    <t xml:space="preserve">Pasos a realizar</t>
  </si>
  <si>
    <t xml:space="preserve">Resultado esperado</t>
  </si>
  <si>
    <t xml:space="preserve">Resultado obtenido</t>
  </si>
  <si>
    <t xml:space="preserve">¿Cumple? (Sí/Parcial/No)</t>
  </si>
  <si>
    <t xml:space="preserve">Funcionalidad (1-5)</t>
  </si>
  <si>
    <t xml:space="preserve">Usabilidad (1-5)</t>
  </si>
  <si>
    <t xml:space="preserve">Diseño (1-5)</t>
  </si>
  <si>
    <t xml:space="preserve">Observaciones</t>
  </si>
  <si>
    <t xml:space="preserve">CU-01</t>
  </si>
  <si>
    <t xml:space="preserve">Autenticación</t>
  </si>
  <si>
    <t xml:space="preserve">Registrar un nuevo usuario</t>
  </si>
  <si>
    <t xml:space="preserve">Verificar que un usuario nuevo pueda crear una cuenta en la aplicación.</t>
  </si>
  <si>
    <t xml:space="preserve">Tener acceso a la URL del prototipo. No estar registrado.</t>
  </si>
  <si>
    <t xml:space="preserve">1. Abrir el prototipo.
2. Hacer clic en 'Registrarse'.
3. Diligenciar: nombre, correo y contraseña.
4. Hacer clic en el botón 'Crear cuenta'.</t>
  </si>
  <si>
    <t xml:space="preserve">El usuario es registrado correctamente y redirigido al inicio o al Dashboard.</t>
  </si>
  <si>
    <t xml:space="preserve">CU-02</t>
  </si>
  <si>
    <t xml:space="preserve">Iniciar sesión con credenciales válidas</t>
  </si>
  <si>
    <t xml:space="preserve">Validar el acceso de un usuario registrado al sistema.</t>
  </si>
  <si>
    <t xml:space="preserve">Tener una cuenta previamente creada.</t>
  </si>
  <si>
    <t xml:space="preserve">1. Ir a la pantalla 'Iniciar sesión'.
2. Ingresar correo y contraseña válidos.
3. Hacer clic en 'Ingresar'.</t>
  </si>
  <si>
    <t xml:space="preserve">El usuario accede al Dashboard de TuPresupuesto.</t>
  </si>
  <si>
    <t xml:space="preserve">CU-03</t>
  </si>
  <si>
    <t xml:space="preserve">Iniciar sesión con datos inválidos</t>
  </si>
  <si>
    <t xml:space="preserve">Comprobar que el sistema muestre un mensaje claro ante credenciales incorrectas.</t>
  </si>
  <si>
    <t xml:space="preserve">Tener una cuenta creada.</t>
  </si>
  <si>
    <t xml:space="preserve">1. Ir a 'Iniciar sesión'.
2. Ingresar un correo o contraseña incorrectos.
3. Hacer clic en 'Ingresar'.</t>
  </si>
  <si>
    <t xml:space="preserve">Se muestra un mensaje de error comprensible, sin permitir el acceso.</t>
  </si>
  <si>
    <t xml:space="preserve">CU-04</t>
  </si>
  <si>
    <t xml:space="preserve">Cerrar sesión</t>
  </si>
  <si>
    <t xml:space="preserve">Verificar que el usuario pueda salir de la aplicación de forma segura.</t>
  </si>
  <si>
    <t xml:space="preserve">Estar autenticado en la aplicación.</t>
  </si>
  <si>
    <t xml:space="preserve">1. Hacer clic en el menú o avatar de usuario.
2. Seleccionar la opción 'Cerrar sesión'.</t>
  </si>
  <si>
    <t xml:space="preserve">La sesión se cierra y se regresa a la pantalla de inicio de sesión.</t>
  </si>
  <si>
    <t xml:space="preserve">CU-05</t>
  </si>
  <si>
    <t xml:space="preserve">Dashboard</t>
  </si>
  <si>
    <t xml:space="preserve">Visualizar el resumen financiero</t>
  </si>
  <si>
    <t xml:space="preserve">Confirmar que el Dashboard muestra el resumen de ingresos, gastos y balance.</t>
  </si>
  <si>
    <t xml:space="preserve">Estar autenticado y tener al menos un ingreso y un gasto registrado.</t>
  </si>
  <si>
    <t xml:space="preserve">1. Ingresar al sistema.
2. Observar el panel principal (Dashboard).</t>
  </si>
  <si>
    <t xml:space="preserve">Se visualizan los totales de ingresos, gastos y el saldo actual de forma clara.</t>
  </si>
  <si>
    <t xml:space="preserve">CU-06</t>
  </si>
  <si>
    <t xml:space="preserve">Identificar indicadores y gráficos</t>
  </si>
  <si>
    <t xml:space="preserve">Evaluar la claridad de los gráficos y tarjetas resumen.</t>
  </si>
  <si>
    <t xml:space="preserve">Tener movimientos registrados.</t>
  </si>
  <si>
    <t xml:space="preserve">1. Revisar las tarjetas y gráficos del Dashboard.
2. Pasar el cursor sobre los elementos.</t>
  </si>
  <si>
    <t xml:space="preserve">Los gráficos y tarjetas son legibles, con etiquetas y valores comprensibles.</t>
  </si>
  <si>
    <t xml:space="preserve">CU-07</t>
  </si>
  <si>
    <t xml:space="preserve">Navegar entre los módulos</t>
  </si>
  <si>
    <t xml:space="preserve">Verificar la facilidad de navegación desde el menú lateral o superior.</t>
  </si>
  <si>
    <t xml:space="preserve">Estar autenticado.</t>
  </si>
  <si>
    <t xml:space="preserve">1. Hacer clic en cada opción del menú: Ingresos, Gastos, Metas, Presupuesto.</t>
  </si>
  <si>
    <t xml:space="preserve">Cada módulo se abre sin errores y muestra su contenido principal.</t>
  </si>
  <si>
    <t xml:space="preserve">CU-08</t>
  </si>
  <si>
    <t xml:space="preserve">Ingresos</t>
  </si>
  <si>
    <t xml:space="preserve">Registrar un nuevo ingreso</t>
  </si>
  <si>
    <t xml:space="preserve">Validar el alta de un ingreso con todos los datos requeridos.</t>
  </si>
  <si>
    <t xml:space="preserve">1. Ir al módulo 'Ingresos'.
2. Hacer clic en 'Agregar' o '+ Nuevo ingreso'.
3. Diligenciar: descripción, monto, categoría y fecha.
4. Guardar.</t>
  </si>
  <si>
    <t xml:space="preserve">El ingreso aparece en la lista y se actualiza el total.</t>
  </si>
  <si>
    <t xml:space="preserve">CU-09</t>
  </si>
  <si>
    <t xml:space="preserve">Listar y filtrar ingresos</t>
  </si>
  <si>
    <t xml:space="preserve">Comprobar que se puede consultar y filtrar el listado.</t>
  </si>
  <si>
    <t xml:space="preserve">Tener al menos 3 ingresos registrados.</t>
  </si>
  <si>
    <t xml:space="preserve">1. Abrir el módulo 'Ingresos'.
2. Aplicar filtros por fecha o categoría (si están disponibles).</t>
  </si>
  <si>
    <t xml:space="preserve">El listado se muestra ordenado y los filtros funcionan correctamente.</t>
  </si>
  <si>
    <t xml:space="preserve">CU-10</t>
  </si>
  <si>
    <t xml:space="preserve">Editar un ingreso existente</t>
  </si>
  <si>
    <t xml:space="preserve">Verificar que se puede modificar la información de un ingreso.</t>
  </si>
  <si>
    <t xml:space="preserve">Tener al menos un ingreso registrado.</t>
  </si>
  <si>
    <t xml:space="preserve">1. Seleccionar un ingreso de la lista.
2. Hacer clic en 'Editar'.
3. Modificar un campo (ej. monto).
4. Guardar.</t>
  </si>
  <si>
    <t xml:space="preserve">Los cambios se reflejan correctamente en la lista y en los totales.</t>
  </si>
  <si>
    <t xml:space="preserve">CU-11</t>
  </si>
  <si>
    <t xml:space="preserve">Eliminar un ingreso</t>
  </si>
  <si>
    <t xml:space="preserve">Validar la eliminación de un registro de ingreso.</t>
  </si>
  <si>
    <t xml:space="preserve">1. Seleccionar un ingreso.
2. Hacer clic en el ícono o botón de 'Eliminar'.
3. Confirmar la acción.</t>
  </si>
  <si>
    <t xml:space="preserve">El ingreso es eliminado y los totales se actualizan.</t>
  </si>
  <si>
    <t xml:space="preserve">CU-12</t>
  </si>
  <si>
    <t xml:space="preserve">Gastos</t>
  </si>
  <si>
    <t xml:space="preserve">Registrar un nuevo gasto</t>
  </si>
  <si>
    <t xml:space="preserve">Validar el alta de un gasto con todos los datos requeridos.</t>
  </si>
  <si>
    <t xml:space="preserve">1. Ir al módulo 'Gastos'.
2. Hacer clic en 'Agregar gasto'.
3. Diligenciar: descripción, monto, categoría y fecha.
4. Guardar.</t>
  </si>
  <si>
    <t xml:space="preserve">El gasto aparece en la lista y se actualiza el total.</t>
  </si>
  <si>
    <t xml:space="preserve">CU-13</t>
  </si>
  <si>
    <t xml:space="preserve">Listar y filtrar gastos</t>
  </si>
  <si>
    <t xml:space="preserve">Verificar la consulta y filtrado del historial de gastos.</t>
  </si>
  <si>
    <t xml:space="preserve">Tener al menos 3 gastos registrados.</t>
  </si>
  <si>
    <t xml:space="preserve">1. Ir al módulo 'Gastos'.
2. Aplicar filtros por fecha o categoría.</t>
  </si>
  <si>
    <t xml:space="preserve">El listado se muestra correctamente y los filtros responden.</t>
  </si>
  <si>
    <t xml:space="preserve">CU-14</t>
  </si>
  <si>
    <t xml:space="preserve">Editar un gasto existente</t>
  </si>
  <si>
    <t xml:space="preserve">Confirmar que la edición se aplica correctamente.</t>
  </si>
  <si>
    <t xml:space="preserve">Tener al menos un gasto registrado.</t>
  </si>
  <si>
    <t xml:space="preserve">1. Seleccionar un gasto.
2. Hacer clic en 'Editar'.
3. Modificar un campo.
4. Guardar.</t>
  </si>
  <si>
    <t xml:space="preserve">Los cambios se reflejan en la lista y en los totales.</t>
  </si>
  <si>
    <t xml:space="preserve">CU-15</t>
  </si>
  <si>
    <t xml:space="preserve">Eliminar un gasto</t>
  </si>
  <si>
    <t xml:space="preserve">Validar la eliminación de un gasto.</t>
  </si>
  <si>
    <t xml:space="preserve">1. Seleccionar un gasto.
2. Hacer clic en 'Eliminar'.
3. Confirmar.</t>
  </si>
  <si>
    <t xml:space="preserve">El gasto se elimina y se actualizan los totales.</t>
  </si>
  <si>
    <t xml:space="preserve">CU-16</t>
  </si>
  <si>
    <t xml:space="preserve">Metas</t>
  </si>
  <si>
    <t xml:space="preserve">Crear una meta de ahorro</t>
  </si>
  <si>
    <t xml:space="preserve">Verificar la creación de una meta con monto objetivo y fecha límite.</t>
  </si>
  <si>
    <t xml:space="preserve">1. Ir al módulo 'Metas'.
2. Hacer clic en 'Nueva meta'.
3. Diligenciar: nombre, monto objetivo, fecha límite.
4. Guardar.</t>
  </si>
  <si>
    <t xml:space="preserve">La meta aparece en la lista de metas con su progreso inicial en 0%.</t>
  </si>
  <si>
    <t xml:space="preserve">CU-17</t>
  </si>
  <si>
    <t xml:space="preserve">Visualizar el progreso de una meta</t>
  </si>
  <si>
    <t xml:space="preserve">Comprobar que se muestre el avance hacia la meta.</t>
  </si>
  <si>
    <t xml:space="preserve">Tener al menos una meta creada y aportes asociados (si aplica).</t>
  </si>
  <si>
    <t xml:space="preserve">1. Abrir el módulo 'Metas'.
2. Observar la barra o porcentaje de progreso.</t>
  </si>
  <si>
    <t xml:space="preserve">Se visualiza claramente el porcentaje de avance y el monto restante.</t>
  </si>
  <si>
    <t xml:space="preserve">CU-18</t>
  </si>
  <si>
    <t xml:space="preserve">Editar o eliminar una meta</t>
  </si>
  <si>
    <t xml:space="preserve">Validar la modificación o eliminación de una meta.</t>
  </si>
  <si>
    <t xml:space="preserve">Tener al menos una meta creada.</t>
  </si>
  <si>
    <t xml:space="preserve">1. Seleccionar una meta.
2. Hacer clic en 'Editar' o 'Eliminar'.
3. Confirmar.</t>
  </si>
  <si>
    <t xml:space="preserve">La meta se actualiza o desaparece de la lista, según corresponda.</t>
  </si>
  <si>
    <t xml:space="preserve">CU-19</t>
  </si>
  <si>
    <t xml:space="preserve">Presupuesto</t>
  </si>
  <si>
    <t xml:space="preserve">Definir presupuesto mensual por categoría</t>
  </si>
  <si>
    <t xml:space="preserve">Verificar la creación de un presupuesto por categoría de gasto.</t>
  </si>
  <si>
    <t xml:space="preserve">1. Ir al módulo 'Presupuesto'.
2. Hacer clic en 'Agregar presupuesto'.
3. Seleccionar categoría y monto límite.
4. Guardar.</t>
  </si>
  <si>
    <t xml:space="preserve">El presupuesto queda registrado y visible en el listado.</t>
  </si>
  <si>
    <t xml:space="preserve">CU-20</t>
  </si>
  <si>
    <t xml:space="preserve">Visualizar alertas al exceder el presupuesto</t>
  </si>
  <si>
    <t xml:space="preserve">Comprobar que el sistema indique cuando se supera el límite de una categoría.</t>
  </si>
  <si>
    <t xml:space="preserve">Tener un presupuesto definido y gastos superiores al límite.</t>
  </si>
  <si>
    <t xml:space="preserve">1. Registrar gastos que excedan el presupuesto.
2. Ir al módulo 'Presupuesto' o 'Dashboard'.</t>
  </si>
  <si>
    <t xml:space="preserve">Se muestra una alerta visual (color, mensaje o ícono) que indica el exceso.</t>
  </si>
  <si>
    <t xml:space="preserve">CU-21</t>
  </si>
  <si>
    <t xml:space="preserve">Editar o eliminar un presupuesto</t>
  </si>
  <si>
    <t xml:space="preserve">Validar la edición y eliminación de un presupuesto.</t>
  </si>
  <si>
    <t xml:space="preserve">Tener al menos un presupuesto creado.</t>
  </si>
  <si>
    <t xml:space="preserve">1. Seleccionar un presupuesto.
2. Hacer clic en 'Editar' o 'Eliminar'.
3. Confirmar.</t>
  </si>
  <si>
    <t xml:space="preserve">El presupuesto se actualiza o se elimina correctamente.</t>
  </si>
  <si>
    <t xml:space="preserve">CU-22</t>
  </si>
  <si>
    <t xml:space="preserve">General</t>
  </si>
  <si>
    <t xml:space="preserve">Uso del prototipo en dispositivo móvil</t>
  </si>
  <si>
    <t xml:space="preserve">Evaluar la adaptación visual y funcional de la aplicación en celular.</t>
  </si>
  <si>
    <t xml:space="preserve">Acceder al prototipo desde un dispositivo móvil.</t>
  </si>
  <si>
    <t xml:space="preserve">1. Abrir el prototipo desde el celular.
2. Navegar por todos los módulos.
3. Registrar un ingreso y un gasto.</t>
  </si>
  <si>
    <t xml:space="preserve">La interfaz se adapta correctamente, sin elementos cortados ni fuera de lugar.</t>
  </si>
  <si>
    <t xml:space="preserve">CU-23</t>
  </si>
  <si>
    <t xml:space="preserve">Velocidad y respuesta del sistema</t>
  </si>
  <si>
    <t xml:space="preserve">Evaluar los tiempos de carga y reacción de la aplicación.</t>
  </si>
  <si>
    <t xml:space="preserve">Tener conexión estable a internet.</t>
  </si>
  <si>
    <t xml:space="preserve">1. Navegar entre los módulos.
2. Realizar varias acciones seguidas (crear, editar, eliminar).</t>
  </si>
  <si>
    <t xml:space="preserve">El sistema responde de forma fluida, sin demoras notorias.</t>
  </si>
  <si>
    <t xml:space="preserve">CU-24</t>
  </si>
  <si>
    <t xml:space="preserve">Mensajes y retroalimentación al usuario</t>
  </si>
  <si>
    <t xml:space="preserve">Verificar que el prototipo informa al usuario sobre el resultado de sus acciones.</t>
  </si>
  <si>
    <t xml:space="preserve">Estar usando la aplicación.</t>
  </si>
  <si>
    <t xml:space="preserve">1. Realizar varias acciones (guardar, eliminar, error de validación).
2. Observar los mensajes mostrados.</t>
  </si>
  <si>
    <t xml:space="preserve">Aparecen mensajes claros de éxito o error después de cada acción.</t>
  </si>
  <si>
    <t xml:space="preserve">CUESTIONARIO DE USABILIDAD (SUS – System Usability Scale)</t>
  </si>
  <si>
    <t xml:space="preserve">Responde cada afirmación con un valor de 1 (Totalmente en desacuerdo) a 5 (Totalmente de acuerdo).</t>
  </si>
  <si>
    <t xml:space="preserve">#</t>
  </si>
  <si>
    <t xml:space="preserve">Afirmación</t>
  </si>
  <si>
    <t xml:space="preserve">Respuesta (1-5)</t>
  </si>
  <si>
    <t xml:space="preserve">Creo que me gustaría usar esta aplicación con frecuencia.</t>
  </si>
  <si>
    <t xml:space="preserve">Encontré la aplicación innecesariamente compleja.</t>
  </si>
  <si>
    <t xml:space="preserve">Pensé que la aplicación era fácil de usar.</t>
  </si>
  <si>
    <t xml:space="preserve">Creo que necesitaría el apoyo de un técnico para poder usarla.</t>
  </si>
  <si>
    <t xml:space="preserve">Encontré que las diferentes funciones de la aplicación estaban bien integradas.</t>
  </si>
  <si>
    <t xml:space="preserve">Pensé que había demasiada inconsistencia en la aplicación.</t>
  </si>
  <si>
    <t xml:space="preserve">Imagino que la mayoría de las personas aprenderían a usar esta aplicación muy rápidamente.</t>
  </si>
  <si>
    <t xml:space="preserve">Encontré la aplicación muy difícil de usar.</t>
  </si>
  <si>
    <t xml:space="preserve">Me sentí muy seguro/a al usar la aplicación.</t>
  </si>
  <si>
    <t xml:space="preserve">Necesitaría aprender muchas cosas antes de poder manejar esta aplicación.</t>
  </si>
  <si>
    <t xml:space="preserve">Puntaje SUS (0–100)</t>
  </si>
  <si>
    <t xml:space="preserve">Referencia: &lt;50 deficiente | 50-68 aceptable | 68-80 buena | &gt;80 excelente</t>
  </si>
  <si>
    <t xml:space="preserve">RESUMEN DE RESULTADOS</t>
  </si>
  <si>
    <t xml:space="preserve">Total de casos de uso evaluados</t>
  </si>
  <si>
    <t xml:space="preserve">Casos cumplidos (Sí)</t>
  </si>
  <si>
    <t xml:space="preserve">Casos parcialmente cumplidos</t>
  </si>
  <si>
    <t xml:space="preserve">Casos no cumplidos</t>
  </si>
  <si>
    <t xml:space="preserve">Casos sin evaluar</t>
  </si>
  <si>
    <t xml:space="preserve">% de cumplimiento</t>
  </si>
  <si>
    <t xml:space="preserve">Promedio Funcionalidad (1-5)</t>
  </si>
  <si>
    <t xml:space="preserve">Promedio Usabilidad (1-5)</t>
  </si>
  <si>
    <t xml:space="preserve">Promedio Diseño visual (1-5)</t>
  </si>
  <si>
    <t xml:space="preserve">Calificación general promedio</t>
  </si>
  <si>
    <t xml:space="preserve">Puntaje SUS de usabilidad</t>
  </si>
  <si>
    <t xml:space="preserve">Conclusiones y comentarios generales del evaluador: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</si>
</sst>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305496"/>
        <bgColor rgb="FF1F4E78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BA6B7"/>
      </left>
      <right style="thin">
        <color rgb="FF9BA6B7"/>
      </right>
      <top style="thin">
        <color rgb="FF9BA6B7"/>
      </top>
      <bottom style="thin">
        <color rgb="FF9BA6B7"/>
      </bottom>
      <diagonal/>
    </border>
    <border diagonalUp="false" diagonalDown="false">
      <left style="thin">
        <color rgb="FF9BA6B7"/>
      </left>
      <right/>
      <top style="thin">
        <color rgb="FF9BA6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BA6B7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31.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5" customFormat="false" ht="45" hidden="false" customHeight="true" outlineLevel="0" collapsed="false">
      <c r="A5" s="3" t="s">
        <v>2</v>
      </c>
      <c r="B5" s="4" t="s">
        <v>3</v>
      </c>
    </row>
    <row r="6" customFormat="false" ht="45" hidden="false" customHeight="true" outlineLevel="0" collapsed="false">
      <c r="A6" s="3" t="s">
        <v>4</v>
      </c>
      <c r="B6" s="4" t="s">
        <v>5</v>
      </c>
    </row>
    <row r="7" customFormat="false" ht="21.75" hidden="false" customHeight="true" outlineLevel="0" collapsed="false">
      <c r="B7" s="5" t="s">
        <v>6</v>
      </c>
    </row>
    <row r="8" customFormat="false" ht="19.5" hidden="false" customHeight="true" outlineLevel="0" collapsed="false">
      <c r="A8" s="3" t="s">
        <v>7</v>
      </c>
      <c r="B8" s="4" t="s">
        <v>8</v>
      </c>
    </row>
    <row r="9" customFormat="false" ht="19.5" hidden="false" customHeight="true" outlineLevel="0" collapsed="false">
      <c r="A9" s="3" t="s">
        <v>9</v>
      </c>
      <c r="B9" s="4" t="s">
        <v>10</v>
      </c>
    </row>
    <row r="10" customFormat="false" ht="19.5" hidden="false" customHeight="true" outlineLevel="0" collapsed="false">
      <c r="A10" s="3" t="s">
        <v>11</v>
      </c>
      <c r="B10" s="4" t="s">
        <v>12</v>
      </c>
    </row>
    <row r="11" customFormat="false" ht="30" hidden="false" customHeight="true" outlineLevel="0" collapsed="false">
      <c r="A11" s="3" t="s">
        <v>13</v>
      </c>
      <c r="B11" s="4" t="s">
        <v>14</v>
      </c>
    </row>
    <row r="12" customFormat="false" ht="19.5" hidden="false" customHeight="true" outlineLevel="0" collapsed="false">
      <c r="A12" s="3" t="s">
        <v>15</v>
      </c>
      <c r="B12" s="4" t="s">
        <v>16</v>
      </c>
    </row>
    <row r="13" customFormat="false" ht="19.5" hidden="false" customHeight="true" outlineLevel="0" collapsed="false">
      <c r="A13" s="3" t="s">
        <v>17</v>
      </c>
      <c r="B13" s="4" t="s">
        <v>18</v>
      </c>
    </row>
    <row r="15" customFormat="false" ht="21.75" hidden="false" customHeight="true" outlineLevel="0" collapsed="false">
      <c r="B15" s="5" t="s">
        <v>19</v>
      </c>
    </row>
    <row r="16" customFormat="false" ht="19.5" hidden="false" customHeight="true" outlineLevel="0" collapsed="false">
      <c r="A16" s="3" t="s">
        <v>20</v>
      </c>
      <c r="B16" s="4" t="s">
        <v>21</v>
      </c>
    </row>
    <row r="17" customFormat="false" ht="19.5" hidden="false" customHeight="true" outlineLevel="0" collapsed="false">
      <c r="A17" s="3" t="s">
        <v>22</v>
      </c>
      <c r="B17" s="4" t="s">
        <v>23</v>
      </c>
    </row>
    <row r="18" customFormat="false" ht="19.5" hidden="false" customHeight="true" outlineLevel="0" collapsed="false">
      <c r="A18" s="3" t="s">
        <v>24</v>
      </c>
      <c r="B18" s="4" t="s">
        <v>25</v>
      </c>
    </row>
    <row r="19" customFormat="false" ht="19.5" hidden="false" customHeight="true" outlineLevel="0" collapsed="false">
      <c r="A19" s="3" t="s">
        <v>26</v>
      </c>
      <c r="B19" s="4" t="s">
        <v>27</v>
      </c>
    </row>
    <row r="20" customFormat="false" ht="19.5" hidden="false" customHeight="true" outlineLevel="0" collapsed="false">
      <c r="A20" s="3" t="s">
        <v>28</v>
      </c>
      <c r="B20" s="4" t="s">
        <v>29</v>
      </c>
    </row>
    <row r="22" customFormat="false" ht="21.75" hidden="false" customHeight="true" outlineLevel="0" collapsed="false">
      <c r="B22" s="5" t="s">
        <v>30</v>
      </c>
    </row>
    <row r="23" customFormat="false" ht="19.5" hidden="false" customHeight="true" outlineLevel="0" collapsed="false">
      <c r="A23" s="3" t="s">
        <v>31</v>
      </c>
      <c r="B23" s="4" t="s">
        <v>32</v>
      </c>
    </row>
    <row r="24" customFormat="false" ht="19.5" hidden="false" customHeight="true" outlineLevel="0" collapsed="false">
      <c r="A24" s="3" t="s">
        <v>33</v>
      </c>
      <c r="B24" s="4" t="s">
        <v>34</v>
      </c>
    </row>
    <row r="25" customFormat="false" ht="19.5" hidden="false" customHeight="true" outlineLevel="0" collapsed="false">
      <c r="A25" s="3" t="s">
        <v>35</v>
      </c>
      <c r="B25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50"/>
  </cols>
  <sheetData>
    <row r="2" customFormat="false" ht="27.75" hidden="false" customHeight="true" outlineLevel="0" collapsed="false">
      <c r="B2" s="6" t="s">
        <v>37</v>
      </c>
      <c r="C2" s="6"/>
    </row>
    <row r="4" customFormat="false" ht="21.75" hidden="false" customHeight="true" outlineLevel="0" collapsed="false">
      <c r="B4" s="7" t="s">
        <v>38</v>
      </c>
      <c r="C4" s="8"/>
    </row>
    <row r="5" customFormat="false" ht="21.75" hidden="false" customHeight="true" outlineLevel="0" collapsed="false">
      <c r="B5" s="7" t="s">
        <v>39</v>
      </c>
      <c r="C5" s="8"/>
    </row>
    <row r="6" customFormat="false" ht="21.75" hidden="false" customHeight="true" outlineLevel="0" collapsed="false">
      <c r="B6" s="7" t="s">
        <v>40</v>
      </c>
      <c r="C6" s="8"/>
    </row>
    <row r="7" customFormat="false" ht="21.75" hidden="false" customHeight="true" outlineLevel="0" collapsed="false">
      <c r="B7" s="7" t="s">
        <v>41</v>
      </c>
      <c r="C7" s="8"/>
    </row>
    <row r="8" customFormat="false" ht="21.75" hidden="false" customHeight="true" outlineLevel="0" collapsed="false">
      <c r="B8" s="7" t="s">
        <v>42</v>
      </c>
      <c r="C8" s="8"/>
    </row>
    <row r="9" customFormat="false" ht="21.75" hidden="false" customHeight="true" outlineLevel="0" collapsed="false">
      <c r="B9" s="7" t="s">
        <v>43</v>
      </c>
      <c r="C9" s="8"/>
    </row>
    <row r="10" customFormat="false" ht="21.75" hidden="false" customHeight="true" outlineLevel="0" collapsed="false">
      <c r="B10" s="7" t="s">
        <v>44</v>
      </c>
      <c r="C10" s="8"/>
    </row>
    <row r="11" customFormat="false" ht="21.75" hidden="false" customHeight="true" outlineLevel="0" collapsed="false">
      <c r="B11" s="7" t="s">
        <v>45</v>
      </c>
      <c r="C11" s="8"/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37.5" hidden="false" customHeight="true" outlineLevel="0" collapsed="false">
      <c r="A2" s="9" t="s">
        <v>47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9" t="s">
        <v>57</v>
      </c>
      <c r="L2" s="9" t="s">
        <v>58</v>
      </c>
      <c r="M2" s="9" t="s">
        <v>59</v>
      </c>
    </row>
    <row r="3" customFormat="false" ht="78" hidden="false" customHeight="true" outlineLevel="0" collapsed="false">
      <c r="A3" s="10" t="s">
        <v>60</v>
      </c>
      <c r="B3" s="10" t="s">
        <v>61</v>
      </c>
      <c r="C3" s="11" t="s">
        <v>62</v>
      </c>
      <c r="D3" s="11" t="s">
        <v>63</v>
      </c>
      <c r="E3" s="11" t="s">
        <v>64</v>
      </c>
      <c r="F3" s="11" t="s">
        <v>65</v>
      </c>
      <c r="G3" s="11" t="s">
        <v>66</v>
      </c>
      <c r="H3" s="12"/>
      <c r="I3" s="12"/>
      <c r="J3" s="12"/>
      <c r="K3" s="12"/>
      <c r="L3" s="12"/>
      <c r="M3" s="12"/>
    </row>
    <row r="4" customFormat="false" ht="78" hidden="false" customHeight="true" outlineLevel="0" collapsed="false">
      <c r="A4" s="13" t="s">
        <v>67</v>
      </c>
      <c r="B4" s="13" t="s">
        <v>61</v>
      </c>
      <c r="C4" s="14" t="s">
        <v>68</v>
      </c>
      <c r="D4" s="14" t="s">
        <v>69</v>
      </c>
      <c r="E4" s="14" t="s">
        <v>70</v>
      </c>
      <c r="F4" s="14" t="s">
        <v>71</v>
      </c>
      <c r="G4" s="14" t="s">
        <v>72</v>
      </c>
      <c r="H4" s="12"/>
      <c r="I4" s="12"/>
      <c r="J4" s="12"/>
      <c r="K4" s="12"/>
      <c r="L4" s="12"/>
      <c r="M4" s="12"/>
    </row>
    <row r="5" customFormat="false" ht="78" hidden="false" customHeight="true" outlineLevel="0" collapsed="false">
      <c r="A5" s="10" t="s">
        <v>73</v>
      </c>
      <c r="B5" s="10" t="s">
        <v>61</v>
      </c>
      <c r="C5" s="11" t="s">
        <v>74</v>
      </c>
      <c r="D5" s="11" t="s">
        <v>75</v>
      </c>
      <c r="E5" s="11" t="s">
        <v>76</v>
      </c>
      <c r="F5" s="11" t="s">
        <v>77</v>
      </c>
      <c r="G5" s="11" t="s">
        <v>78</v>
      </c>
      <c r="H5" s="12"/>
      <c r="I5" s="12"/>
      <c r="J5" s="12"/>
      <c r="K5" s="12"/>
      <c r="L5" s="12"/>
      <c r="M5" s="12"/>
    </row>
    <row r="6" customFormat="false" ht="78" hidden="false" customHeight="true" outlineLevel="0" collapsed="false">
      <c r="A6" s="13" t="s">
        <v>79</v>
      </c>
      <c r="B6" s="13" t="s">
        <v>61</v>
      </c>
      <c r="C6" s="14" t="s">
        <v>80</v>
      </c>
      <c r="D6" s="14" t="s">
        <v>81</v>
      </c>
      <c r="E6" s="14" t="s">
        <v>82</v>
      </c>
      <c r="F6" s="14" t="s">
        <v>83</v>
      </c>
      <c r="G6" s="14" t="s">
        <v>84</v>
      </c>
      <c r="H6" s="12"/>
      <c r="I6" s="12"/>
      <c r="J6" s="12"/>
      <c r="K6" s="12"/>
      <c r="L6" s="12"/>
      <c r="M6" s="12"/>
    </row>
    <row r="7" customFormat="false" ht="78" hidden="false" customHeight="true" outlineLevel="0" collapsed="false">
      <c r="A7" s="10" t="s">
        <v>85</v>
      </c>
      <c r="B7" s="10" t="s">
        <v>86</v>
      </c>
      <c r="C7" s="11" t="s">
        <v>87</v>
      </c>
      <c r="D7" s="11" t="s">
        <v>88</v>
      </c>
      <c r="E7" s="11" t="s">
        <v>89</v>
      </c>
      <c r="F7" s="11" t="s">
        <v>90</v>
      </c>
      <c r="G7" s="11" t="s">
        <v>91</v>
      </c>
      <c r="H7" s="12"/>
      <c r="I7" s="12"/>
      <c r="J7" s="12"/>
      <c r="K7" s="12"/>
      <c r="L7" s="12"/>
      <c r="M7" s="12"/>
    </row>
    <row r="8" customFormat="false" ht="78" hidden="false" customHeight="true" outlineLevel="0" collapsed="false">
      <c r="A8" s="13" t="s">
        <v>92</v>
      </c>
      <c r="B8" s="13" t="s">
        <v>86</v>
      </c>
      <c r="C8" s="14" t="s">
        <v>93</v>
      </c>
      <c r="D8" s="14" t="s">
        <v>94</v>
      </c>
      <c r="E8" s="14" t="s">
        <v>95</v>
      </c>
      <c r="F8" s="14" t="s">
        <v>96</v>
      </c>
      <c r="G8" s="14" t="s">
        <v>97</v>
      </c>
      <c r="H8" s="12"/>
      <c r="I8" s="12"/>
      <c r="J8" s="12"/>
      <c r="K8" s="12"/>
      <c r="L8" s="12"/>
      <c r="M8" s="12"/>
    </row>
    <row r="9" customFormat="false" ht="78" hidden="false" customHeight="true" outlineLevel="0" collapsed="false">
      <c r="A9" s="10" t="s">
        <v>98</v>
      </c>
      <c r="B9" s="10" t="s">
        <v>86</v>
      </c>
      <c r="C9" s="11" t="s">
        <v>99</v>
      </c>
      <c r="D9" s="11" t="s">
        <v>100</v>
      </c>
      <c r="E9" s="11" t="s">
        <v>101</v>
      </c>
      <c r="F9" s="11" t="s">
        <v>102</v>
      </c>
      <c r="G9" s="11" t="s">
        <v>103</v>
      </c>
      <c r="H9" s="12"/>
      <c r="I9" s="12"/>
      <c r="J9" s="12"/>
      <c r="K9" s="12"/>
      <c r="L9" s="12"/>
      <c r="M9" s="12"/>
    </row>
    <row r="10" customFormat="false" ht="78" hidden="false" customHeight="true" outlineLevel="0" collapsed="false">
      <c r="A10" s="13" t="s">
        <v>104</v>
      </c>
      <c r="B10" s="13" t="s">
        <v>105</v>
      </c>
      <c r="C10" s="14" t="s">
        <v>106</v>
      </c>
      <c r="D10" s="14" t="s">
        <v>107</v>
      </c>
      <c r="E10" s="14" t="s">
        <v>101</v>
      </c>
      <c r="F10" s="14" t="s">
        <v>108</v>
      </c>
      <c r="G10" s="14" t="s">
        <v>109</v>
      </c>
      <c r="H10" s="12"/>
      <c r="I10" s="12"/>
      <c r="J10" s="12"/>
      <c r="K10" s="12"/>
      <c r="L10" s="12"/>
      <c r="M10" s="12"/>
    </row>
    <row r="11" customFormat="false" ht="78" hidden="false" customHeight="true" outlineLevel="0" collapsed="false">
      <c r="A11" s="10" t="s">
        <v>110</v>
      </c>
      <c r="B11" s="10" t="s">
        <v>105</v>
      </c>
      <c r="C11" s="11" t="s">
        <v>111</v>
      </c>
      <c r="D11" s="11" t="s">
        <v>112</v>
      </c>
      <c r="E11" s="11" t="s">
        <v>113</v>
      </c>
      <c r="F11" s="11" t="s">
        <v>114</v>
      </c>
      <c r="G11" s="11" t="s">
        <v>115</v>
      </c>
      <c r="H11" s="12"/>
      <c r="I11" s="12"/>
      <c r="J11" s="12"/>
      <c r="K11" s="12"/>
      <c r="L11" s="12"/>
      <c r="M11" s="12"/>
    </row>
    <row r="12" customFormat="false" ht="78" hidden="false" customHeight="true" outlineLevel="0" collapsed="false">
      <c r="A12" s="13" t="s">
        <v>116</v>
      </c>
      <c r="B12" s="13" t="s">
        <v>105</v>
      </c>
      <c r="C12" s="14" t="s">
        <v>117</v>
      </c>
      <c r="D12" s="14" t="s">
        <v>118</v>
      </c>
      <c r="E12" s="14" t="s">
        <v>119</v>
      </c>
      <c r="F12" s="14" t="s">
        <v>120</v>
      </c>
      <c r="G12" s="14" t="s">
        <v>121</v>
      </c>
      <c r="H12" s="12"/>
      <c r="I12" s="12"/>
      <c r="J12" s="12"/>
      <c r="K12" s="12"/>
      <c r="L12" s="12"/>
      <c r="M12" s="12"/>
    </row>
    <row r="13" customFormat="false" ht="78" hidden="false" customHeight="true" outlineLevel="0" collapsed="false">
      <c r="A13" s="10" t="s">
        <v>122</v>
      </c>
      <c r="B13" s="10" t="s">
        <v>105</v>
      </c>
      <c r="C13" s="11" t="s">
        <v>123</v>
      </c>
      <c r="D13" s="11" t="s">
        <v>124</v>
      </c>
      <c r="E13" s="11" t="s">
        <v>119</v>
      </c>
      <c r="F13" s="11" t="s">
        <v>125</v>
      </c>
      <c r="G13" s="11" t="s">
        <v>126</v>
      </c>
      <c r="H13" s="12"/>
      <c r="I13" s="12"/>
      <c r="J13" s="12"/>
      <c r="K13" s="12"/>
      <c r="L13" s="12"/>
      <c r="M13" s="12"/>
    </row>
    <row r="14" customFormat="false" ht="78" hidden="false" customHeight="true" outlineLevel="0" collapsed="false">
      <c r="A14" s="13" t="s">
        <v>127</v>
      </c>
      <c r="B14" s="13" t="s">
        <v>128</v>
      </c>
      <c r="C14" s="14" t="s">
        <v>129</v>
      </c>
      <c r="D14" s="14" t="s">
        <v>130</v>
      </c>
      <c r="E14" s="14" t="s">
        <v>101</v>
      </c>
      <c r="F14" s="14" t="s">
        <v>131</v>
      </c>
      <c r="G14" s="14" t="s">
        <v>132</v>
      </c>
      <c r="H14" s="12"/>
      <c r="I14" s="12"/>
      <c r="J14" s="12"/>
      <c r="K14" s="12"/>
      <c r="L14" s="12"/>
      <c r="M14" s="12"/>
    </row>
    <row r="15" customFormat="false" ht="78" hidden="false" customHeight="true" outlineLevel="0" collapsed="false">
      <c r="A15" s="10" t="s">
        <v>133</v>
      </c>
      <c r="B15" s="10" t="s">
        <v>128</v>
      </c>
      <c r="C15" s="11" t="s">
        <v>134</v>
      </c>
      <c r="D15" s="11" t="s">
        <v>135</v>
      </c>
      <c r="E15" s="11" t="s">
        <v>136</v>
      </c>
      <c r="F15" s="11" t="s">
        <v>137</v>
      </c>
      <c r="G15" s="11" t="s">
        <v>138</v>
      </c>
      <c r="H15" s="12"/>
      <c r="I15" s="12"/>
      <c r="J15" s="12"/>
      <c r="K15" s="12"/>
      <c r="L15" s="12"/>
      <c r="M15" s="12"/>
    </row>
    <row r="16" customFormat="false" ht="78" hidden="false" customHeight="true" outlineLevel="0" collapsed="false">
      <c r="A16" s="13" t="s">
        <v>139</v>
      </c>
      <c r="B16" s="13" t="s">
        <v>128</v>
      </c>
      <c r="C16" s="14" t="s">
        <v>140</v>
      </c>
      <c r="D16" s="14" t="s">
        <v>141</v>
      </c>
      <c r="E16" s="14" t="s">
        <v>142</v>
      </c>
      <c r="F16" s="14" t="s">
        <v>143</v>
      </c>
      <c r="G16" s="14" t="s">
        <v>144</v>
      </c>
      <c r="H16" s="12"/>
      <c r="I16" s="12"/>
      <c r="J16" s="12"/>
      <c r="K16" s="12"/>
      <c r="L16" s="12"/>
      <c r="M16" s="12"/>
    </row>
    <row r="17" customFormat="false" ht="78" hidden="false" customHeight="true" outlineLevel="0" collapsed="false">
      <c r="A17" s="10" t="s">
        <v>145</v>
      </c>
      <c r="B17" s="10" t="s">
        <v>128</v>
      </c>
      <c r="C17" s="11" t="s">
        <v>146</v>
      </c>
      <c r="D17" s="11" t="s">
        <v>147</v>
      </c>
      <c r="E17" s="11" t="s">
        <v>142</v>
      </c>
      <c r="F17" s="11" t="s">
        <v>148</v>
      </c>
      <c r="G17" s="11" t="s">
        <v>149</v>
      </c>
      <c r="H17" s="12"/>
      <c r="I17" s="12"/>
      <c r="J17" s="12"/>
      <c r="K17" s="12"/>
      <c r="L17" s="12"/>
      <c r="M17" s="12"/>
    </row>
    <row r="18" customFormat="false" ht="78" hidden="false" customHeight="true" outlineLevel="0" collapsed="false">
      <c r="A18" s="13" t="s">
        <v>150</v>
      </c>
      <c r="B18" s="13" t="s">
        <v>151</v>
      </c>
      <c r="C18" s="14" t="s">
        <v>152</v>
      </c>
      <c r="D18" s="14" t="s">
        <v>153</v>
      </c>
      <c r="E18" s="14" t="s">
        <v>101</v>
      </c>
      <c r="F18" s="14" t="s">
        <v>154</v>
      </c>
      <c r="G18" s="14" t="s">
        <v>155</v>
      </c>
      <c r="H18" s="12"/>
      <c r="I18" s="12"/>
      <c r="J18" s="12"/>
      <c r="K18" s="12"/>
      <c r="L18" s="12"/>
      <c r="M18" s="12"/>
    </row>
    <row r="19" customFormat="false" ht="78" hidden="false" customHeight="true" outlineLevel="0" collapsed="false">
      <c r="A19" s="10" t="s">
        <v>156</v>
      </c>
      <c r="B19" s="10" t="s">
        <v>151</v>
      </c>
      <c r="C19" s="11" t="s">
        <v>157</v>
      </c>
      <c r="D19" s="11" t="s">
        <v>158</v>
      </c>
      <c r="E19" s="11" t="s">
        <v>159</v>
      </c>
      <c r="F19" s="11" t="s">
        <v>160</v>
      </c>
      <c r="G19" s="11" t="s">
        <v>161</v>
      </c>
      <c r="H19" s="12"/>
      <c r="I19" s="12"/>
      <c r="J19" s="12"/>
      <c r="K19" s="12"/>
      <c r="L19" s="12"/>
      <c r="M19" s="12"/>
    </row>
    <row r="20" customFormat="false" ht="78" hidden="false" customHeight="true" outlineLevel="0" collapsed="false">
      <c r="A20" s="13" t="s">
        <v>162</v>
      </c>
      <c r="B20" s="13" t="s">
        <v>151</v>
      </c>
      <c r="C20" s="14" t="s">
        <v>163</v>
      </c>
      <c r="D20" s="14" t="s">
        <v>164</v>
      </c>
      <c r="E20" s="14" t="s">
        <v>165</v>
      </c>
      <c r="F20" s="14" t="s">
        <v>166</v>
      </c>
      <c r="G20" s="14" t="s">
        <v>167</v>
      </c>
      <c r="H20" s="12"/>
      <c r="I20" s="12"/>
      <c r="J20" s="12"/>
      <c r="K20" s="12"/>
      <c r="L20" s="12"/>
      <c r="M20" s="12"/>
    </row>
    <row r="21" customFormat="false" ht="78" hidden="false" customHeight="true" outlineLevel="0" collapsed="false">
      <c r="A21" s="10" t="s">
        <v>168</v>
      </c>
      <c r="B21" s="10" t="s">
        <v>169</v>
      </c>
      <c r="C21" s="11" t="s">
        <v>170</v>
      </c>
      <c r="D21" s="11" t="s">
        <v>171</v>
      </c>
      <c r="E21" s="11" t="s">
        <v>101</v>
      </c>
      <c r="F21" s="11" t="s">
        <v>172</v>
      </c>
      <c r="G21" s="11" t="s">
        <v>173</v>
      </c>
      <c r="H21" s="12"/>
      <c r="I21" s="12"/>
      <c r="J21" s="12"/>
      <c r="K21" s="12"/>
      <c r="L21" s="12"/>
      <c r="M21" s="12"/>
    </row>
    <row r="22" customFormat="false" ht="78" hidden="false" customHeight="true" outlineLevel="0" collapsed="false">
      <c r="A22" s="13" t="s">
        <v>174</v>
      </c>
      <c r="B22" s="13" t="s">
        <v>169</v>
      </c>
      <c r="C22" s="14" t="s">
        <v>175</v>
      </c>
      <c r="D22" s="14" t="s">
        <v>176</v>
      </c>
      <c r="E22" s="14" t="s">
        <v>177</v>
      </c>
      <c r="F22" s="14" t="s">
        <v>178</v>
      </c>
      <c r="G22" s="14" t="s">
        <v>179</v>
      </c>
      <c r="H22" s="12"/>
      <c r="I22" s="12"/>
      <c r="J22" s="12"/>
      <c r="K22" s="12"/>
      <c r="L22" s="12"/>
      <c r="M22" s="12"/>
    </row>
    <row r="23" customFormat="false" ht="78" hidden="false" customHeight="true" outlineLevel="0" collapsed="false">
      <c r="A23" s="10" t="s">
        <v>180</v>
      </c>
      <c r="B23" s="10" t="s">
        <v>169</v>
      </c>
      <c r="C23" s="11" t="s">
        <v>181</v>
      </c>
      <c r="D23" s="11" t="s">
        <v>182</v>
      </c>
      <c r="E23" s="11" t="s">
        <v>183</v>
      </c>
      <c r="F23" s="11" t="s">
        <v>184</v>
      </c>
      <c r="G23" s="11" t="s">
        <v>185</v>
      </c>
      <c r="H23" s="12"/>
      <c r="I23" s="12"/>
      <c r="J23" s="12"/>
      <c r="K23" s="12"/>
      <c r="L23" s="12"/>
      <c r="M23" s="12"/>
    </row>
    <row r="24" customFormat="false" ht="78" hidden="false" customHeight="true" outlineLevel="0" collapsed="false">
      <c r="A24" s="13" t="s">
        <v>186</v>
      </c>
      <c r="B24" s="13" t="s">
        <v>187</v>
      </c>
      <c r="C24" s="14" t="s">
        <v>188</v>
      </c>
      <c r="D24" s="14" t="s">
        <v>189</v>
      </c>
      <c r="E24" s="14" t="s">
        <v>190</v>
      </c>
      <c r="F24" s="14" t="s">
        <v>191</v>
      </c>
      <c r="G24" s="14" t="s">
        <v>192</v>
      </c>
      <c r="H24" s="12"/>
      <c r="I24" s="12"/>
      <c r="J24" s="12"/>
      <c r="K24" s="12"/>
      <c r="L24" s="12"/>
      <c r="M24" s="12"/>
    </row>
    <row r="25" customFormat="false" ht="78" hidden="false" customHeight="true" outlineLevel="0" collapsed="false">
      <c r="A25" s="10" t="s">
        <v>193</v>
      </c>
      <c r="B25" s="10" t="s">
        <v>187</v>
      </c>
      <c r="C25" s="11" t="s">
        <v>194</v>
      </c>
      <c r="D25" s="11" t="s">
        <v>195</v>
      </c>
      <c r="E25" s="11" t="s">
        <v>196</v>
      </c>
      <c r="F25" s="11" t="s">
        <v>197</v>
      </c>
      <c r="G25" s="11" t="s">
        <v>198</v>
      </c>
      <c r="H25" s="12"/>
      <c r="I25" s="12"/>
      <c r="J25" s="12"/>
      <c r="K25" s="12"/>
      <c r="L25" s="12"/>
      <c r="M25" s="12"/>
    </row>
    <row r="26" customFormat="false" ht="78" hidden="false" customHeight="true" outlineLevel="0" collapsed="false">
      <c r="A26" s="13" t="s">
        <v>199</v>
      </c>
      <c r="B26" s="13" t="s">
        <v>187</v>
      </c>
      <c r="C26" s="14" t="s">
        <v>200</v>
      </c>
      <c r="D26" s="14" t="s">
        <v>201</v>
      </c>
      <c r="E26" s="14" t="s">
        <v>202</v>
      </c>
      <c r="F26" s="14" t="s">
        <v>203</v>
      </c>
      <c r="G26" s="14" t="s">
        <v>204</v>
      </c>
      <c r="H26" s="12"/>
      <c r="I26" s="12"/>
      <c r="J26" s="12"/>
      <c r="K26" s="12"/>
      <c r="L26" s="12"/>
      <c r="M26" s="12"/>
    </row>
  </sheetData>
  <mergeCells count="1">
    <mergeCell ref="A1:M1"/>
  </mergeCells>
  <conditionalFormatting sqref="I3:I26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"Parcial"</formula>
    </cfRule>
  </conditionalFormatting>
  <dataValidations count="2">
    <dataValidation allowBlank="true" error="Seleccione: Sí, Parcial o No" errorStyle="stop" errorTitle="Valor inválido" operator="between" showDropDown="false" showErrorMessage="false" showInputMessage="false" sqref="I3:I26" type="list">
      <formula1>"Sí,Parcial,No"</formula1>
      <formula2>0</formula2>
    </dataValidation>
    <dataValidation allowBlank="true" error="Use una escala de 1 a 5" errorStyle="stop" errorTitle="Valor inválido" operator="between" showDropDown="false" showErrorMessage="false" showInputMessage="false" sqref="J3:L2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5" t="s">
        <v>205</v>
      </c>
      <c r="B1" s="15"/>
      <c r="C1" s="15"/>
      <c r="D1" s="15"/>
    </row>
    <row r="2" customFormat="false" ht="24" hidden="false" customHeight="true" outlineLevel="0" collapsed="false">
      <c r="A2" s="16" t="s">
        <v>206</v>
      </c>
      <c r="B2" s="16"/>
      <c r="C2" s="16"/>
      <c r="D2" s="16"/>
    </row>
    <row r="3" customFormat="false" ht="24" hidden="false" customHeight="true" outlineLevel="0" collapsed="false">
      <c r="A3" s="9" t="s">
        <v>207</v>
      </c>
      <c r="B3" s="9" t="s">
        <v>208</v>
      </c>
      <c r="C3" s="9" t="s">
        <v>209</v>
      </c>
      <c r="D3" s="9" t="s">
        <v>59</v>
      </c>
    </row>
    <row r="4" customFormat="false" ht="30" hidden="false" customHeight="true" outlineLevel="0" collapsed="false">
      <c r="A4" s="17" t="n">
        <v>1</v>
      </c>
      <c r="B4" s="11" t="s">
        <v>210</v>
      </c>
      <c r="C4" s="12"/>
      <c r="D4" s="8"/>
    </row>
    <row r="5" customFormat="false" ht="30" hidden="false" customHeight="true" outlineLevel="0" collapsed="false">
      <c r="A5" s="18" t="n">
        <v>2</v>
      </c>
      <c r="B5" s="14" t="s">
        <v>211</v>
      </c>
      <c r="C5" s="12"/>
      <c r="D5" s="8"/>
    </row>
    <row r="6" customFormat="false" ht="30" hidden="false" customHeight="true" outlineLevel="0" collapsed="false">
      <c r="A6" s="17" t="n">
        <v>3</v>
      </c>
      <c r="B6" s="11" t="s">
        <v>212</v>
      </c>
      <c r="C6" s="12"/>
      <c r="D6" s="8"/>
    </row>
    <row r="7" customFormat="false" ht="30" hidden="false" customHeight="true" outlineLevel="0" collapsed="false">
      <c r="A7" s="18" t="n">
        <v>4</v>
      </c>
      <c r="B7" s="14" t="s">
        <v>213</v>
      </c>
      <c r="C7" s="12"/>
      <c r="D7" s="8"/>
    </row>
    <row r="8" customFormat="false" ht="30" hidden="false" customHeight="true" outlineLevel="0" collapsed="false">
      <c r="A8" s="17" t="n">
        <v>5</v>
      </c>
      <c r="B8" s="11" t="s">
        <v>214</v>
      </c>
      <c r="C8" s="12"/>
      <c r="D8" s="8"/>
    </row>
    <row r="9" customFormat="false" ht="30" hidden="false" customHeight="true" outlineLevel="0" collapsed="false">
      <c r="A9" s="18" t="n">
        <v>6</v>
      </c>
      <c r="B9" s="14" t="s">
        <v>215</v>
      </c>
      <c r="C9" s="12"/>
      <c r="D9" s="8"/>
    </row>
    <row r="10" customFormat="false" ht="30" hidden="false" customHeight="true" outlineLevel="0" collapsed="false">
      <c r="A10" s="17" t="n">
        <v>7</v>
      </c>
      <c r="B10" s="11" t="s">
        <v>216</v>
      </c>
      <c r="C10" s="12"/>
      <c r="D10" s="8"/>
    </row>
    <row r="11" customFormat="false" ht="30" hidden="false" customHeight="true" outlineLevel="0" collapsed="false">
      <c r="A11" s="18" t="n">
        <v>8</v>
      </c>
      <c r="B11" s="14" t="s">
        <v>217</v>
      </c>
      <c r="C11" s="12"/>
      <c r="D11" s="8"/>
    </row>
    <row r="12" customFormat="false" ht="30" hidden="false" customHeight="true" outlineLevel="0" collapsed="false">
      <c r="A12" s="17" t="n">
        <v>9</v>
      </c>
      <c r="B12" s="11" t="s">
        <v>218</v>
      </c>
      <c r="C12" s="12"/>
      <c r="D12" s="8"/>
    </row>
    <row r="13" customFormat="false" ht="30" hidden="false" customHeight="true" outlineLevel="0" collapsed="false">
      <c r="A13" s="18" t="n">
        <v>10</v>
      </c>
      <c r="B13" s="14" t="s">
        <v>219</v>
      </c>
      <c r="C13" s="12"/>
      <c r="D13" s="8"/>
    </row>
    <row r="15" customFormat="false" ht="23.85" hidden="false" customHeight="false" outlineLevel="0" collapsed="false">
      <c r="B15" s="19" t="s">
        <v>220</v>
      </c>
      <c r="C15" s="20" t="n">
        <f aca="false">IFERROR((((C4+C6+C8+C10+C12)-5)+(25-(C5+C7+C9+C11+C13)))*2.5,"")</f>
        <v>50</v>
      </c>
      <c r="D15" s="4" t="s">
        <v>221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4:C1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35"/>
  </cols>
  <sheetData>
    <row r="2" customFormat="false" ht="30" hidden="false" customHeight="true" outlineLevel="0" collapsed="false">
      <c r="B2" s="15" t="s">
        <v>222</v>
      </c>
      <c r="C2" s="15"/>
      <c r="D2" s="15"/>
    </row>
    <row r="4" customFormat="false" ht="24" hidden="false" customHeight="true" outlineLevel="0" collapsed="false">
      <c r="B4" s="7" t="s">
        <v>223</v>
      </c>
      <c r="C4" s="20" t="n">
        <f aca="false">COUNTA('Casos de Uso'!A3:A26)</f>
        <v>24</v>
      </c>
    </row>
    <row r="5" customFormat="false" ht="24" hidden="false" customHeight="true" outlineLevel="0" collapsed="false">
      <c r="B5" s="7" t="s">
        <v>224</v>
      </c>
      <c r="C5" s="20" t="n">
        <f aca="false">COUNTIF('Casos de Uso'!I3:I26,"Sí")</f>
        <v>0</v>
      </c>
    </row>
    <row r="6" customFormat="false" ht="24" hidden="false" customHeight="true" outlineLevel="0" collapsed="false">
      <c r="B6" s="7" t="s">
        <v>225</v>
      </c>
      <c r="C6" s="20" t="n">
        <f aca="false">COUNTIF('Casos de Uso'!I3:I26,"Parcial")</f>
        <v>0</v>
      </c>
    </row>
    <row r="7" customFormat="false" ht="24" hidden="false" customHeight="true" outlineLevel="0" collapsed="false">
      <c r="B7" s="7" t="s">
        <v>226</v>
      </c>
      <c r="C7" s="20" t="n">
        <f aca="false">COUNTIF('Casos de Uso'!I3:I26,"No")</f>
        <v>0</v>
      </c>
    </row>
    <row r="8" customFormat="false" ht="24" hidden="false" customHeight="true" outlineLevel="0" collapsed="false">
      <c r="B8" s="7" t="s">
        <v>227</v>
      </c>
      <c r="C8" s="20" t="n">
        <f aca="false">C4-(C5+C6+C7)</f>
        <v>24</v>
      </c>
    </row>
    <row r="9" customFormat="false" ht="24" hidden="false" customHeight="true" outlineLevel="0" collapsed="false">
      <c r="B9" s="7" t="s">
        <v>228</v>
      </c>
      <c r="C9" s="21" t="n">
        <f aca="false">IFERROR((C5+C6*0.5)/C4,"")</f>
        <v>0</v>
      </c>
    </row>
    <row r="10" customFormat="false" ht="24" hidden="false" customHeight="true" outlineLevel="0" collapsed="false">
      <c r="B10" s="7" t="s">
        <v>229</v>
      </c>
      <c r="C10" s="22" t="str">
        <f aca="false">IFERROR(AVERAGE('Casos de Uso'!J3:J26),"")</f>
        <v/>
      </c>
    </row>
    <row r="11" customFormat="false" ht="24" hidden="false" customHeight="true" outlineLevel="0" collapsed="false">
      <c r="B11" s="7" t="s">
        <v>230</v>
      </c>
      <c r="C11" s="22" t="str">
        <f aca="false">IFERROR(AVERAGE('Casos de Uso'!K3:K26),"")</f>
        <v/>
      </c>
    </row>
    <row r="12" customFormat="false" ht="24" hidden="false" customHeight="true" outlineLevel="0" collapsed="false">
      <c r="B12" s="7" t="s">
        <v>231</v>
      </c>
      <c r="C12" s="22" t="str">
        <f aca="false">IFERROR(AVERAGE('Casos de Uso'!L3:L26),"")</f>
        <v/>
      </c>
    </row>
    <row r="13" customFormat="false" ht="24" hidden="false" customHeight="true" outlineLevel="0" collapsed="false">
      <c r="B13" s="7" t="s">
        <v>232</v>
      </c>
      <c r="C13" s="22" t="str">
        <f aca="false">IFERROR(AVERAGE(C10:C12),"")</f>
        <v/>
      </c>
    </row>
    <row r="14" customFormat="false" ht="24" hidden="false" customHeight="true" outlineLevel="0" collapsed="false">
      <c r="B14" s="7" t="s">
        <v>233</v>
      </c>
      <c r="C14" s="22" t="n">
        <f aca="false">'Cuestionario SUS'!C15</f>
        <v>50</v>
      </c>
    </row>
    <row r="16" customFormat="false" ht="21.75" hidden="false" customHeight="true" outlineLevel="0" collapsed="false">
      <c r="B16" s="23" t="s">
        <v>234</v>
      </c>
      <c r="C16" s="23"/>
      <c r="D16" s="23"/>
    </row>
    <row r="17" customFormat="false" ht="21.75" hidden="false" customHeight="true" outlineLevel="0" collapsed="false">
      <c r="B17" s="24"/>
      <c r="C17" s="24"/>
      <c r="D17" s="24"/>
    </row>
    <row r="18" customFormat="false" ht="21.75" hidden="false" customHeight="true" outlineLevel="0" collapsed="false">
      <c r="B18" s="24"/>
      <c r="C18" s="24"/>
      <c r="D18" s="24"/>
    </row>
    <row r="19" customFormat="false" ht="21.75" hidden="false" customHeight="true" outlineLevel="0" collapsed="false">
      <c r="B19" s="24"/>
      <c r="C19" s="24"/>
      <c r="D19" s="24"/>
    </row>
    <row r="20" customFormat="false" ht="21.75" hidden="false" customHeight="true" outlineLevel="0" collapsed="false">
      <c r="B20" s="24"/>
      <c r="C20" s="24"/>
      <c r="D20" s="24"/>
    </row>
    <row r="21" customFormat="false" ht="21.75" hidden="false" customHeight="true" outlineLevel="0" collapsed="false">
      <c r="B21" s="24"/>
      <c r="C21" s="24"/>
      <c r="D21" s="24"/>
    </row>
    <row r="22" customFormat="false" ht="21.75" hidden="false" customHeight="true" outlineLevel="0" collapsed="false">
      <c r="B22" s="24"/>
      <c r="C22" s="24"/>
      <c r="D22" s="24"/>
    </row>
    <row r="23" customFormat="false" ht="21.75" hidden="false" customHeight="true" outlineLevel="0" collapsed="false">
      <c r="B23" s="24"/>
      <c r="C23" s="24"/>
      <c r="D23" s="24"/>
    </row>
  </sheetData>
  <mergeCells count="3">
    <mergeCell ref="B2:D2"/>
    <mergeCell ref="B16:D16"/>
    <mergeCell ref="B17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2026-05-13T00:39:19Z</dcterms:created>
  <dc:creator>openpyxl</dc:creator>
  <dc:description/>
  <dc:language>en-US</dc:language>
  <cp:lastModifiedBy/>
  <dcterms:modified xsi:type="dcterms:W3CDTF">2026-05-13T00:39:19Z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