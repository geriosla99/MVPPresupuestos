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" sheetId="1" state="visible" r:id="rId3"/>
    <sheet name="Casos OWAS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<sst xmlns="http://schemas.openxmlformats.org/spreadsheetml/2006/main" count="231" uniqueCount="155">
  <si>
    <t xml:space="preserve">Resumen — Plan de Pruebas OWASP TuPresupuesto</t>
  </si>
  <si>
    <t xml:space="preserve">Total de casos</t>
  </si>
  <si>
    <t xml:space="preserve">Cumplen</t>
  </si>
  <si>
    <t xml:space="preserve">Cumplimiento parcial</t>
  </si>
  <si>
    <t xml:space="preserve">No cumplen</t>
  </si>
  <si>
    <t xml:space="preserve">No aplica (N/A)</t>
  </si>
  <si>
    <t xml:space="preserve">Sin ejecutar</t>
  </si>
  <si>
    <t xml:space="preserve">% cumplimiento</t>
  </si>
  <si>
    <t xml:space="preserve">Cómo usar este archivo</t>
  </si>
  <si>
    <t xml:space="preserve">1. Ve a la hoja 'Casos OWASP' y ejecuta cada caso siguiendo la columna 'Pasos / Comando'.</t>
  </si>
  <si>
    <t xml:space="preserve">2. Registra lo observado en 'Resultado obtenido'.</t>
  </si>
  <si>
    <t xml:space="preserve">3. Cambia 'Estado' a Cumple / Parcial / No cumple / N/A (lista desplegable).</t>
  </si>
  <si>
    <t xml:space="preserve">4. Anota fecha y observaciones (capturas, notas adicionales).</t>
  </si>
  <si>
    <t xml:space="preserve">5. Los KPIs y el % de cumplimiento se actualizan automáticamente.</t>
  </si>
  <si>
    <t xml:space="preserve">Tipo 'Auto' = ejecutable con un comando (npm audit, pip-audit, ZAP).</t>
  </si>
  <si>
    <t xml:space="preserve">Tipo 'Manual' = se ejecuta paso a paso desde el navegador o Postman.</t>
  </si>
  <si>
    <t xml:space="preserve">Plan de pruebas OWASP — TuPresupuesto</t>
  </si>
  <si>
    <t xml:space="preserve">29 casos · 10 categorías OWASP Top 10 (2021) · tabla dinámica</t>
  </si>
  <si>
    <t xml:space="preserve">ID</t>
  </si>
  <si>
    <t xml:space="preserve">Categoría</t>
  </si>
  <si>
    <t xml:space="preserve">Caso de prueba</t>
  </si>
  <si>
    <t xml:space="preserve">Pasos / Comando</t>
  </si>
  <si>
    <t xml:space="preserve">Resultado esperado</t>
  </si>
  <si>
    <t xml:space="preserve">Tipo</t>
  </si>
  <si>
    <t xml:space="preserve">Resultado obtenido</t>
  </si>
  <si>
    <t xml:space="preserve">Estado</t>
  </si>
  <si>
    <t xml:space="preserve">Fecha de ejecución</t>
  </si>
  <si>
    <t xml:space="preserve">Observaciones</t>
  </si>
  <si>
    <t xml:space="preserve">PO-AC-01</t>
  </si>
  <si>
    <t xml:space="preserve">A01 Acceso</t>
  </si>
  <si>
    <t xml:space="preserve">Acceso a datos de otro usuario</t>
  </si>
  <si>
    <t xml:space="preserve">1. Registrar A y B.
2. Login como A; copiar tx_id de A.
3. Login B; GET /api/transactions/{tx_id_A} con token B.</t>
  </si>
  <si>
    <t xml:space="preserve">Código 404 (Transacción no encontrada).</t>
  </si>
  <si>
    <t xml:space="preserve">Manual</t>
  </si>
  <si>
    <t xml:space="preserve">PO-AC-02</t>
  </si>
  <si>
    <t xml:space="preserve">Acceso sin token</t>
  </si>
  <si>
    <t xml:space="preserve">1. GET /api/transactions sin Authorization.</t>
  </si>
  <si>
    <t xml:space="preserve">Código 401 (No autenticado).</t>
  </si>
  <si>
    <t xml:space="preserve">PO-AC-03</t>
  </si>
  <si>
    <t xml:space="preserve">Modificar recurso ajeno</t>
  </si>
  <si>
    <t xml:space="preserve">1. Login como A.
2. PUT /api/goals/{id_meta_B} con token A.</t>
  </si>
  <si>
    <t xml:space="preserve">Código 404 (Meta no encontrada).</t>
  </si>
  <si>
    <t xml:space="preserve">PO-AC-04</t>
  </si>
  <si>
    <t xml:space="preserve">Eliminar recurso ajeno</t>
  </si>
  <si>
    <t xml:space="preserve">1. Login como A.
2. DELETE /api/transactions/{id_de_B} con token A.</t>
  </si>
  <si>
    <t xml:space="preserve">Código 404.</t>
  </si>
  <si>
    <t xml:space="preserve">PO-AC-05</t>
  </si>
  <si>
    <t xml:space="preserve">Confirmación al eliminar cuenta</t>
  </si>
  <si>
    <t xml:space="preserve">1. Intentar DELETE /api/auth/me desde la UI sin escribir ELIMINAR.</t>
  </si>
  <si>
    <t xml:space="preserve">Botón deshabilitado hasta confirmar.</t>
  </si>
  <si>
    <t xml:space="preserve">PO-CR-01</t>
  </si>
  <si>
    <t xml:space="preserve">A02 Criptografía</t>
  </si>
  <si>
    <t xml:space="preserve">HTTPS en producción</t>
  </si>
  <si>
    <t xml:space="preserve">1. Abrir https://mvp-presupuestos-8azi.vercel.app y verificar el candado.</t>
  </si>
  <si>
    <t xml:space="preserve">TLS válido, sin advertencias.</t>
  </si>
  <si>
    <t xml:space="preserve">PO-CR-02</t>
  </si>
  <si>
    <t xml:space="preserve">Hash bcrypt de contraseñas</t>
  </si>
  <si>
    <t xml:space="preserve">1. Registrar un usuario.
2. Inspeccionar users/{uid}.hashed_password en Firestore.</t>
  </si>
  <si>
    <t xml:space="preserve">Cadena con prefijo $2b$ (bcrypt).</t>
  </si>
  <si>
    <t xml:space="preserve">PO-CR-03</t>
  </si>
  <si>
    <t xml:space="preserve">JWT firmado</t>
  </si>
  <si>
    <t xml:space="preserve">1. Login, copiar access_token.
2. Modificar un carácter del payload.
3. Llamar /auth/me.</t>
  </si>
  <si>
    <t xml:space="preserve">Backend rechaza con 401.</t>
  </si>
  <si>
    <t xml:space="preserve">PO-IN-01</t>
  </si>
  <si>
    <t xml:space="preserve">A03 Inyección</t>
  </si>
  <si>
    <t xml:space="preserve">SQL/NoSQL injection en descripción</t>
  </si>
  <si>
    <t xml:space="preserve">1. Crear movimiento con descripción: '; DROP TABLE users; --</t>
  </si>
  <si>
    <t xml:space="preserve">Se guarda como cadena literal, sin efecto.</t>
  </si>
  <si>
    <t xml:space="preserve">PO-IN-02</t>
  </si>
  <si>
    <t xml:space="preserve">XSS reflejado en formularios</t>
  </si>
  <si>
    <t xml:space="preserve">1. Crear movimiento con descripción: &lt;script&gt;alert(1)&lt;/script&gt;</t>
  </si>
  <si>
    <t xml:space="preserve">React escapa el HTML, no se ejecuta JS.</t>
  </si>
  <si>
    <t xml:space="preserve">PO-IN-03</t>
  </si>
  <si>
    <t xml:space="preserve">NoSQL injection en login</t>
  </si>
  <si>
    <t xml:space="preserve">1. POST /api/auth/login body {"email": {"$ne": null}, "password": "x"}</t>
  </si>
  <si>
    <t xml:space="preserve">Código 422 (validación EmailStr).</t>
  </si>
  <si>
    <t xml:space="preserve">PO-ID-01</t>
  </si>
  <si>
    <t xml:space="preserve">A04 Diseño</t>
  </si>
  <si>
    <t xml:space="preserve">Aporte atómico a meta</t>
  </si>
  <si>
    <t xml:space="preserve">1. Revisar app/routers/goals.py: contribute usa firestore.Increment().</t>
  </si>
  <si>
    <t xml:space="preserve">Aporte atómico, sin race condition.</t>
  </si>
  <si>
    <t xml:space="preserve">Auto</t>
  </si>
  <si>
    <t xml:space="preserve">PO-ID-02</t>
  </si>
  <si>
    <t xml:space="preserve">Borrado en cascada de subcolecciones</t>
  </si>
  <si>
    <t xml:space="preserve">1. Crear usuario con datos.
2. DELETE /api/auth/me.
3. Inspeccionar Firestore.</t>
  </si>
  <si>
    <t xml:space="preserve">Subcolecciones vacías y user_doc eliminado.</t>
  </si>
  <si>
    <t xml:space="preserve">PO-SM-01</t>
  </si>
  <si>
    <t xml:space="preserve">A05 Misconfig</t>
  </si>
  <si>
    <t xml:space="preserve">CORS restrictivo</t>
  </si>
  <si>
    <t xml:space="preserve">1. Fetch desde un origen NO autorizado (curl con Origin distinto).</t>
  </si>
  <si>
    <t xml:space="preserve">Bloqueado por CORS.</t>
  </si>
  <si>
    <t xml:space="preserve">PO-SM-02</t>
  </si>
  <si>
    <t xml:space="preserve">Cabeceras de seguridad</t>
  </si>
  <si>
    <t xml:space="preserve">1. Escanear el dominio en https://securityheaders.com</t>
  </si>
  <si>
    <t xml:space="preserve">Nota ≥ B (CSP, X-Frame-Options, etc.).</t>
  </si>
  <si>
    <t xml:space="preserve">PO-SM-03</t>
  </si>
  <si>
    <t xml:space="preserve">Errores sin stack trace</t>
  </si>
  <si>
    <t xml:space="preserve">1. Provocar un 500 con payload malformado.</t>
  </si>
  <si>
    <t xml:space="preserve">JSON limpio, sin trazas internas.</t>
  </si>
  <si>
    <t xml:space="preserve">PO-SM-04</t>
  </si>
  <si>
    <t xml:space="preserve">Reglas de Firestore cerradas</t>
  </si>
  <si>
    <t xml:space="preserve">1. Cliente Firebase sin auth intenta leer users/.</t>
  </si>
  <si>
    <t xml:space="preserve">Bloqueado: allow read, write: if false.</t>
  </si>
  <si>
    <t xml:space="preserve">PO-VC-01</t>
  </si>
  <si>
    <t xml:space="preserve">A06 Componentes</t>
  </si>
  <si>
    <t xml:space="preserve">npm audit del frontend</t>
  </si>
  <si>
    <t xml:space="preserve">cd frontend &amp;&amp; npm audit --production</t>
  </si>
  <si>
    <t xml:space="preserve">0 vulnerabilidades altas/críticas.</t>
  </si>
  <si>
    <t xml:space="preserve">PO-VC-02</t>
  </si>
  <si>
    <t xml:space="preserve">pip-audit del backend</t>
  </si>
  <si>
    <t xml:space="preserve">cd backend &amp;&amp; pip install pip-audit &amp;&amp; pip-audit</t>
  </si>
  <si>
    <t xml:space="preserve">PO-AU-01</t>
  </si>
  <si>
    <t xml:space="preserve">A07 Autenticación</t>
  </si>
  <si>
    <t xml:space="preserve">Política de contraseña fuerte</t>
  </si>
  <si>
    <t xml:space="preserve">1. POST /api/auth/register con password "1234".</t>
  </si>
  <si>
    <t xml:space="preserve">Código 422 con detalle de cada regla.</t>
  </si>
  <si>
    <t xml:space="preserve">PO-AU-02</t>
  </si>
  <si>
    <t xml:space="preserve">Rate limiting de login</t>
  </si>
  <si>
    <t xml:space="preserve">1. 20 logins fallidos consecutivos.</t>
  </si>
  <si>
    <t xml:space="preserve">Documentar como mejora (no implementado aún).</t>
  </si>
  <si>
    <t xml:space="preserve">PO-AU-03</t>
  </si>
  <si>
    <t xml:space="preserve">Expiración de JWT</t>
  </si>
  <si>
    <t xml:space="preserve">1. ACCESS_TOKEN_EXPIRE_MINUTES=1, login, esperar 2 min, /auth/me.</t>
  </si>
  <si>
    <t xml:space="preserve">Código 401 (token expirado).</t>
  </si>
  <si>
    <t xml:space="preserve">PO-AU-04</t>
  </si>
  <si>
    <t xml:space="preserve">Token inválido rechazado</t>
  </si>
  <si>
    <t xml:space="preserve">1. /auth/me con Authorization: Bearer abc.123.def</t>
  </si>
  <si>
    <t xml:space="preserve">Código 401.</t>
  </si>
  <si>
    <t xml:space="preserve">PO-AU-05</t>
  </si>
  <si>
    <t xml:space="preserve">Enumeración de usuarios</t>
  </si>
  <si>
    <t xml:space="preserve">1. Login con email inexistente vs. password incorrecto.</t>
  </si>
  <si>
    <t xml:space="preserve">Mismo mensaje para no revelar existencia.</t>
  </si>
  <si>
    <t xml:space="preserve">PO-SI-01</t>
  </si>
  <si>
    <t xml:space="preserve">A08 Integridad</t>
  </si>
  <si>
    <t xml:space="preserve">Origen de dependencias</t>
  </si>
  <si>
    <t xml:space="preserve">1. Revisar package-lock.json y requirements.txt.</t>
  </si>
  <si>
    <t xml:space="preserve">100 % de registros oficiales (npmjs, PyPI).</t>
  </si>
  <si>
    <t xml:space="preserve">PO-SI-02</t>
  </si>
  <si>
    <t xml:space="preserve">Rama protegida en GitHub</t>
  </si>
  <si>
    <t xml:space="preserve">1. Settings → Branches → Branch protection rules.</t>
  </si>
  <si>
    <t xml:space="preserve">main protegida; despliegues solo desde main.</t>
  </si>
  <si>
    <t xml:space="preserve">PO-LM-01</t>
  </si>
  <si>
    <t xml:space="preserve">A09 Logging</t>
  </si>
  <si>
    <t xml:space="preserve">Logs del backend en Vercel</t>
  </si>
  <si>
    <t xml:space="preserve">1. Provocar 500.
2. Vercel → Deployments → Function Logs.</t>
  </si>
  <si>
    <t xml:space="preserve">Stack trace registrado y accesible.</t>
  </si>
  <si>
    <t xml:space="preserve">PO-LM-02</t>
  </si>
  <si>
    <t xml:space="preserve">Logs de accesos no autorizados</t>
  </si>
  <si>
    <t xml:space="preserve">1. Peticiones con tokens inválidos.
2. Revisar logs.</t>
  </si>
  <si>
    <t xml:space="preserve">Cada 401/403 queda registrado con timestamp.</t>
  </si>
  <si>
    <t xml:space="preserve">PO-SS-01</t>
  </si>
  <si>
    <t xml:space="preserve">A10 SSRF</t>
  </si>
  <si>
    <t xml:space="preserve">Endpoints que aceptan URLs externas</t>
  </si>
  <si>
    <t xml:space="preserve">1. Revisar todos los endpoints del backend.</t>
  </si>
  <si>
    <t xml:space="preserve">Ninguno hace fetch a URL del usuario. N/A.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</si>
</sst>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1E293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0A2342"/>
      <name val="Calibri"/>
      <family val="0"/>
      <charset val="1"/>
    </font>
    <font>
      <sz val="10"/>
      <color rgb="FF1E293B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A2342"/>
      <name val="Consolas"/>
      <family val="0"/>
      <charset val="1"/>
    </font>
    <font>
      <b val="true"/>
      <sz val="10"/>
      <color rgb="FF9F1239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293B"/>
      <name val="Consolas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0369A1"/>
      <name val="Calibri"/>
      <family val="0"/>
      <charset val="1"/>
    </font>
    <font>
      <b val="true"/>
      <sz val="10"/>
      <color rgb="FF059669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115E59"/>
      <name val="Calibri"/>
      <family val="0"/>
      <charset val="1"/>
    </font>
    <font>
      <b val="true"/>
      <sz val="10"/>
      <color rgb="FF1E3A8A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10"/>
      <color rgb="FF6B21A8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F0F4F8"/>
        <bgColor rgb="FFF1F5F9"/>
      </patternFill>
    </fill>
    <fill>
      <patternFill patternType="solid">
        <fgColor rgb="FF059669"/>
        <bgColor rgb="FF028090"/>
      </patternFill>
    </fill>
    <fill>
      <patternFill patternType="solid">
        <fgColor rgb="FFF59E0B"/>
        <bgColor rgb="FFFFCC00"/>
      </patternFill>
    </fill>
    <fill>
      <patternFill patternType="solid">
        <fgColor rgb="FFE11D48"/>
        <bgColor rgb="FF9F1239"/>
      </patternFill>
    </fill>
    <fill>
      <patternFill patternType="solid">
        <fgColor rgb="FF64748B"/>
        <bgColor rgb="FF475569"/>
      </patternFill>
    </fill>
    <fill>
      <patternFill patternType="solid">
        <fgColor rgb="FF028090"/>
        <bgColor rgb="FF0369A1"/>
      </patternFill>
    </fill>
    <fill>
      <patternFill patternType="solid">
        <fgColor rgb="FFFFE4E6"/>
        <bgColor rgb="FFEDE9FE"/>
      </patternFill>
    </fill>
    <fill>
      <patternFill patternType="solid">
        <fgColor rgb="FFEDE9FE"/>
        <bgColor rgb="FFF0F4F8"/>
      </patternFill>
    </fill>
    <fill>
      <patternFill patternType="solid">
        <fgColor rgb="FFFEF3C7"/>
        <bgColor rgb="FFFFE4E6"/>
      </patternFill>
    </fill>
    <fill>
      <patternFill patternType="solid">
        <fgColor rgb="FFE0F2FE"/>
        <bgColor rgb="FFDBEAFE"/>
      </patternFill>
    </fill>
    <fill>
      <patternFill patternType="solid">
        <fgColor rgb="FFD1FAE5"/>
        <bgColor rgb="FFCCFBF1"/>
      </patternFill>
    </fill>
    <fill>
      <patternFill patternType="solid">
        <fgColor rgb="FFCCFBF1"/>
        <bgColor rgb="FFD1FAE5"/>
      </patternFill>
    </fill>
    <fill>
      <patternFill patternType="solid">
        <fgColor rgb="FFDBEAFE"/>
        <bgColor rgb="FFE0F2FE"/>
      </patternFill>
    </fill>
    <fill>
      <patternFill patternType="solid">
        <fgColor rgb="FFF1F5F9"/>
        <bgColor rgb="FFF0F4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0A23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15E59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6B21A8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F1239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Calibri"/>
        <charset val="1"/>
        <family val="0"/>
        <b val="1"/>
        <color rgb="FF059669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F59E0B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E11D48"/>
        <sz val="10"/>
      </font>
      <fill>
        <patternFill>
          <bgColor rgb="FFFFE4E6"/>
        </patternFill>
      </fill>
    </dxf>
    <dxf>
      <font>
        <name val="Calibri"/>
        <charset val="1"/>
        <family val="0"/>
        <color rgb="FF64748B"/>
        <sz val="10"/>
      </font>
      <fill>
        <patternFill>
          <bgColor rgb="FFF1F5F9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9F1239"/>
      <rgbColor rgb="FF065F46"/>
      <rgbColor rgb="FF000080"/>
      <rgbColor rgb="FF808000"/>
      <rgbColor rgb="FF6B21A8"/>
      <rgbColor rgb="FF028090"/>
      <rgbColor rgb="FFEDE9FE"/>
      <rgbColor rgb="FF475569"/>
      <rgbColor rgb="FF9999FF"/>
      <rgbColor rgb="FF993366"/>
      <rgbColor rgb="FFFEF3C7"/>
      <rgbColor rgb="FFCCFBF1"/>
      <rgbColor rgb="FF660066"/>
      <rgbColor rgb="FFFF8080"/>
      <rgbColor rgb="FF0369A1"/>
      <rgbColor rgb="FFDBEAFE"/>
      <rgbColor rgb="FF000080"/>
      <rgbColor rgb="FFFF00FF"/>
      <rgbColor rgb="FFFFFF00"/>
      <rgbColor rgb="FF00FFFF"/>
      <rgbColor rgb="FF5B21B6"/>
      <rgbColor rgb="FF800000"/>
      <rgbColor rgb="FF059669"/>
      <rgbColor rgb="FF0000FF"/>
      <rgbColor rgb="FF00CCFF"/>
      <rgbColor rgb="FFE0F2FE"/>
      <rgbColor rgb="FFD1FAE5"/>
      <rgbColor rgb="FFF1F5F9"/>
      <rgbColor rgb="FFF0F4F8"/>
      <rgbColor rgb="FFFF99CC"/>
      <rgbColor rgb="FFCC99FF"/>
      <rgbColor rgb="FFFFE4E6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A2342"/>
      <rgbColor rgb="FF339966"/>
      <rgbColor rgb="FF115E59"/>
      <rgbColor rgb="FF334155"/>
      <rgbColor rgb="FF92400E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sosOWASP" displayName="CasosOWASP" ref="A4:J33" headerRowCount="1" totalsRowCount="0" totalsRowShown="0">
  <autoFilter ref="A4:J33"/>
  <tableColumns count="10">
    <tableColumn id="1" name="ID"/>
    <tableColumn id="2" name="Categoría"/>
    <tableColumn id="3" name="Caso de prueba"/>
    <tableColumn id="4" name="Pasos / Comando"/>
    <tableColumn id="5" name="Resultado esperado"/>
    <tableColumn id="6" name="Tipo"/>
    <tableColumn id="7" name="Resultado obtenido"/>
    <tableColumn id="8" name="Estado"/>
    <tableColumn id="9" name="Fecha de ejecución"/>
    <tableColumn id="10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A3" s="2" t="s">
        <v>1</v>
      </c>
      <c r="B3" s="3" t="n">
        <f aca="false">COUNTA(CasosOWASP[ID])</f>
        <v>29</v>
      </c>
    </row>
    <row r="4" customFormat="false" ht="24" hidden="false" customHeight="true" outlineLevel="0" collapsed="false">
      <c r="A4" s="2" t="s">
        <v>2</v>
      </c>
      <c r="B4" s="4" t="n">
        <f aca="false">COUNTIF(CasosOWASP[Estado],"Cumple")</f>
        <v>0</v>
      </c>
    </row>
    <row r="5" customFormat="false" ht="24" hidden="false" customHeight="true" outlineLevel="0" collapsed="false">
      <c r="A5" s="2" t="s">
        <v>3</v>
      </c>
      <c r="B5" s="5" t="n">
        <f aca="false">COUNTIF(CasosOWASP[Estado],"Parcial")</f>
        <v>0</v>
      </c>
    </row>
    <row r="6" customFormat="false" ht="24" hidden="false" customHeight="true" outlineLevel="0" collapsed="false">
      <c r="A6" s="2" t="s">
        <v>4</v>
      </c>
      <c r="B6" s="6" t="n">
        <f aca="false">COUNTIF(CasosOWASP[Estado],"No cumple")</f>
        <v>0</v>
      </c>
    </row>
    <row r="7" customFormat="false" ht="24" hidden="false" customHeight="true" outlineLevel="0" collapsed="false">
      <c r="A7" s="2" t="s">
        <v>5</v>
      </c>
      <c r="B7" s="7" t="n">
        <f aca="false">COUNTIF(CasosOWASP[Estado],"N/A")</f>
        <v>0</v>
      </c>
    </row>
    <row r="8" customFormat="false" ht="24" hidden="false" customHeight="true" outlineLevel="0" collapsed="false">
      <c r="A8" s="2" t="s">
        <v>6</v>
      </c>
      <c r="B8" s="7" t="n">
        <f aca="false">COUNTIF(CasosOWASP[Estado],"Sin ejecutar")</f>
        <v>29</v>
      </c>
    </row>
    <row r="9" customFormat="false" ht="24" hidden="false" customHeight="true" outlineLevel="0" collapsed="false">
      <c r="A9" s="2" t="s">
        <v>7</v>
      </c>
      <c r="B9" s="8" t="n">
        <f aca="false">IFERROR(B4/(COUNTA(CasosOWASP[ID])-B7-B8),0)</f>
        <v>0</v>
      </c>
    </row>
    <row r="11" customFormat="false" ht="15" hidden="false" customHeight="false" outlineLevel="0" collapsed="false">
      <c r="A11" s="9" t="s">
        <v>8</v>
      </c>
    </row>
    <row r="12" customFormat="false" ht="15" hidden="false" customHeight="false" outlineLevel="0" collapsed="false">
      <c r="A12" s="10" t="s">
        <v>9</v>
      </c>
      <c r="B12" s="10"/>
      <c r="C12" s="10"/>
      <c r="D12" s="10"/>
    </row>
    <row r="13" customFormat="false" ht="15" hidden="false" customHeight="false" outlineLevel="0" collapsed="false">
      <c r="A13" s="10" t="s">
        <v>10</v>
      </c>
      <c r="B13" s="10"/>
      <c r="C13" s="10"/>
      <c r="D13" s="10"/>
    </row>
    <row r="14" customFormat="false" ht="15" hidden="false" customHeight="false" outlineLevel="0" collapsed="false">
      <c r="A14" s="10" t="s">
        <v>11</v>
      </c>
      <c r="B14" s="10"/>
      <c r="C14" s="10"/>
      <c r="D14" s="10"/>
    </row>
    <row r="15" customFormat="false" ht="15" hidden="false" customHeight="false" outlineLevel="0" collapsed="false">
      <c r="A15" s="10" t="s">
        <v>12</v>
      </c>
      <c r="B15" s="10"/>
      <c r="C15" s="10"/>
      <c r="D15" s="10"/>
    </row>
    <row r="16" customFormat="false" ht="15" hidden="false" customHeight="false" outlineLevel="0" collapsed="false">
      <c r="A16" s="10" t="s">
        <v>13</v>
      </c>
      <c r="B16" s="10"/>
      <c r="C16" s="10"/>
      <c r="D16" s="10"/>
    </row>
    <row r="17" customFormat="false" ht="15" hidden="false" customHeight="false" outlineLevel="0" collapsed="false">
      <c r="A17" s="10"/>
      <c r="B17" s="10"/>
      <c r="C17" s="10"/>
      <c r="D17" s="10"/>
    </row>
    <row r="18" customFormat="false" ht="15" hidden="false" customHeight="false" outlineLevel="0" collapsed="false">
      <c r="A18" s="10" t="s">
        <v>14</v>
      </c>
      <c r="B18" s="10"/>
      <c r="C18" s="10"/>
      <c r="D18" s="10"/>
    </row>
    <row r="19" customFormat="false" ht="15" hidden="false" customHeight="false" outlineLevel="0" collapsed="false">
      <c r="A19" s="10" t="s">
        <v>15</v>
      </c>
      <c r="B19" s="10"/>
      <c r="C19" s="10"/>
      <c r="D19" s="10"/>
    </row>
  </sheetData>
  <mergeCells count="9">
    <mergeCell ref="A1:D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31.5" hidden="false" customHeight="true" outlineLevel="0" collapsed="false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26</v>
      </c>
      <c r="J4" s="12" t="s">
        <v>27</v>
      </c>
    </row>
    <row r="5" customFormat="false" ht="69.75" hidden="false" customHeight="true" outlineLevel="0" collapsed="false">
      <c r="A5" s="13" t="s">
        <v>28</v>
      </c>
      <c r="B5" s="14" t="s">
        <v>29</v>
      </c>
      <c r="C5" s="15" t="s">
        <v>30</v>
      </c>
      <c r="D5" s="16" t="s">
        <v>31</v>
      </c>
      <c r="E5" s="17" t="s">
        <v>32</v>
      </c>
      <c r="F5" s="18" t="s">
        <v>33</v>
      </c>
      <c r="G5" s="17"/>
      <c r="H5" s="19" t="s">
        <v>6</v>
      </c>
      <c r="I5" s="19"/>
      <c r="J5" s="17"/>
    </row>
    <row r="6" customFormat="false" ht="69.75" hidden="false" customHeight="true" outlineLevel="0" collapsed="false">
      <c r="A6" s="13" t="s">
        <v>34</v>
      </c>
      <c r="B6" s="14" t="s">
        <v>29</v>
      </c>
      <c r="C6" s="15" t="s">
        <v>35</v>
      </c>
      <c r="D6" s="16" t="s">
        <v>36</v>
      </c>
      <c r="E6" s="17" t="s">
        <v>37</v>
      </c>
      <c r="F6" s="18" t="s">
        <v>33</v>
      </c>
      <c r="G6" s="17"/>
      <c r="H6" s="19" t="s">
        <v>6</v>
      </c>
      <c r="I6" s="19"/>
      <c r="J6" s="17"/>
    </row>
    <row r="7" customFormat="false" ht="69.75" hidden="false" customHeight="true" outlineLevel="0" collapsed="false">
      <c r="A7" s="13" t="s">
        <v>38</v>
      </c>
      <c r="B7" s="14" t="s">
        <v>29</v>
      </c>
      <c r="C7" s="15" t="s">
        <v>39</v>
      </c>
      <c r="D7" s="16" t="s">
        <v>40</v>
      </c>
      <c r="E7" s="17" t="s">
        <v>41</v>
      </c>
      <c r="F7" s="18" t="s">
        <v>33</v>
      </c>
      <c r="G7" s="17"/>
      <c r="H7" s="19" t="s">
        <v>6</v>
      </c>
      <c r="I7" s="19"/>
      <c r="J7" s="17"/>
    </row>
    <row r="8" customFormat="false" ht="69.75" hidden="false" customHeight="true" outlineLevel="0" collapsed="false">
      <c r="A8" s="13" t="s">
        <v>42</v>
      </c>
      <c r="B8" s="14" t="s">
        <v>29</v>
      </c>
      <c r="C8" s="15" t="s">
        <v>43</v>
      </c>
      <c r="D8" s="16" t="s">
        <v>44</v>
      </c>
      <c r="E8" s="17" t="s">
        <v>45</v>
      </c>
      <c r="F8" s="18" t="s">
        <v>33</v>
      </c>
      <c r="G8" s="17"/>
      <c r="H8" s="19" t="s">
        <v>6</v>
      </c>
      <c r="I8" s="19"/>
      <c r="J8" s="17"/>
    </row>
    <row r="9" customFormat="false" ht="69.75" hidden="false" customHeight="true" outlineLevel="0" collapsed="false">
      <c r="A9" s="13" t="s">
        <v>46</v>
      </c>
      <c r="B9" s="14" t="s">
        <v>29</v>
      </c>
      <c r="C9" s="15" t="s">
        <v>47</v>
      </c>
      <c r="D9" s="16" t="s">
        <v>48</v>
      </c>
      <c r="E9" s="17" t="s">
        <v>49</v>
      </c>
      <c r="F9" s="18" t="s">
        <v>33</v>
      </c>
      <c r="G9" s="17"/>
      <c r="H9" s="19" t="s">
        <v>6</v>
      </c>
      <c r="I9" s="19"/>
      <c r="J9" s="17"/>
    </row>
    <row r="10" customFormat="false" ht="69.75" hidden="false" customHeight="true" outlineLevel="0" collapsed="false">
      <c r="A10" s="13" t="s">
        <v>50</v>
      </c>
      <c r="B10" s="20" t="s">
        <v>51</v>
      </c>
      <c r="C10" s="15" t="s">
        <v>52</v>
      </c>
      <c r="D10" s="16" t="s">
        <v>53</v>
      </c>
      <c r="E10" s="17" t="s">
        <v>54</v>
      </c>
      <c r="F10" s="18" t="s">
        <v>33</v>
      </c>
      <c r="G10" s="17"/>
      <c r="H10" s="19" t="s">
        <v>6</v>
      </c>
      <c r="I10" s="19"/>
      <c r="J10" s="17"/>
    </row>
    <row r="11" customFormat="false" ht="69.75" hidden="false" customHeight="true" outlineLevel="0" collapsed="false">
      <c r="A11" s="13" t="s">
        <v>55</v>
      </c>
      <c r="B11" s="20" t="s">
        <v>51</v>
      </c>
      <c r="C11" s="15" t="s">
        <v>56</v>
      </c>
      <c r="D11" s="16" t="s">
        <v>57</v>
      </c>
      <c r="E11" s="17" t="s">
        <v>58</v>
      </c>
      <c r="F11" s="18" t="s">
        <v>33</v>
      </c>
      <c r="G11" s="17"/>
      <c r="H11" s="19" t="s">
        <v>6</v>
      </c>
      <c r="I11" s="19"/>
      <c r="J11" s="17"/>
    </row>
    <row r="12" customFormat="false" ht="69.75" hidden="false" customHeight="true" outlineLevel="0" collapsed="false">
      <c r="A12" s="13" t="s">
        <v>59</v>
      </c>
      <c r="B12" s="20" t="s">
        <v>51</v>
      </c>
      <c r="C12" s="15" t="s">
        <v>60</v>
      </c>
      <c r="D12" s="16" t="s">
        <v>61</v>
      </c>
      <c r="E12" s="17" t="s">
        <v>62</v>
      </c>
      <c r="F12" s="18" t="s">
        <v>33</v>
      </c>
      <c r="G12" s="17"/>
      <c r="H12" s="19" t="s">
        <v>6</v>
      </c>
      <c r="I12" s="19"/>
      <c r="J12" s="17"/>
    </row>
    <row r="13" customFormat="false" ht="69.75" hidden="false" customHeight="true" outlineLevel="0" collapsed="false">
      <c r="A13" s="13" t="s">
        <v>63</v>
      </c>
      <c r="B13" s="21" t="s">
        <v>64</v>
      </c>
      <c r="C13" s="15" t="s">
        <v>65</v>
      </c>
      <c r="D13" s="16" t="s">
        <v>66</v>
      </c>
      <c r="E13" s="17" t="s">
        <v>67</v>
      </c>
      <c r="F13" s="18" t="s">
        <v>33</v>
      </c>
      <c r="G13" s="17"/>
      <c r="H13" s="19" t="s">
        <v>6</v>
      </c>
      <c r="I13" s="19"/>
      <c r="J13" s="17"/>
    </row>
    <row r="14" customFormat="false" ht="69.75" hidden="false" customHeight="true" outlineLevel="0" collapsed="false">
      <c r="A14" s="13" t="s">
        <v>68</v>
      </c>
      <c r="B14" s="21" t="s">
        <v>64</v>
      </c>
      <c r="C14" s="15" t="s">
        <v>69</v>
      </c>
      <c r="D14" s="16" t="s">
        <v>70</v>
      </c>
      <c r="E14" s="17" t="s">
        <v>71</v>
      </c>
      <c r="F14" s="18" t="s">
        <v>33</v>
      </c>
      <c r="G14" s="17"/>
      <c r="H14" s="19" t="s">
        <v>6</v>
      </c>
      <c r="I14" s="19"/>
      <c r="J14" s="17"/>
    </row>
    <row r="15" customFormat="false" ht="69.75" hidden="false" customHeight="true" outlineLevel="0" collapsed="false">
      <c r="A15" s="13" t="s">
        <v>72</v>
      </c>
      <c r="B15" s="21" t="s">
        <v>64</v>
      </c>
      <c r="C15" s="15" t="s">
        <v>73</v>
      </c>
      <c r="D15" s="16" t="s">
        <v>74</v>
      </c>
      <c r="E15" s="17" t="s">
        <v>75</v>
      </c>
      <c r="F15" s="18" t="s">
        <v>33</v>
      </c>
      <c r="G15" s="17"/>
      <c r="H15" s="19" t="s">
        <v>6</v>
      </c>
      <c r="I15" s="19"/>
      <c r="J15" s="17"/>
    </row>
    <row r="16" customFormat="false" ht="69.75" hidden="false" customHeight="true" outlineLevel="0" collapsed="false">
      <c r="A16" s="13" t="s">
        <v>76</v>
      </c>
      <c r="B16" s="22" t="s">
        <v>77</v>
      </c>
      <c r="C16" s="15" t="s">
        <v>78</v>
      </c>
      <c r="D16" s="16" t="s">
        <v>79</v>
      </c>
      <c r="E16" s="17" t="s">
        <v>80</v>
      </c>
      <c r="F16" s="23" t="s">
        <v>81</v>
      </c>
      <c r="G16" s="17"/>
      <c r="H16" s="19" t="s">
        <v>6</v>
      </c>
      <c r="I16" s="19"/>
      <c r="J16" s="17"/>
    </row>
    <row r="17" customFormat="false" ht="69.75" hidden="false" customHeight="true" outlineLevel="0" collapsed="false">
      <c r="A17" s="13" t="s">
        <v>82</v>
      </c>
      <c r="B17" s="22" t="s">
        <v>77</v>
      </c>
      <c r="C17" s="15" t="s">
        <v>83</v>
      </c>
      <c r="D17" s="16" t="s">
        <v>84</v>
      </c>
      <c r="E17" s="17" t="s">
        <v>85</v>
      </c>
      <c r="F17" s="18" t="s">
        <v>33</v>
      </c>
      <c r="G17" s="17"/>
      <c r="H17" s="19" t="s">
        <v>6</v>
      </c>
      <c r="I17" s="19"/>
      <c r="J17" s="17"/>
    </row>
    <row r="18" customFormat="false" ht="69.75" hidden="false" customHeight="true" outlineLevel="0" collapsed="false">
      <c r="A18" s="13" t="s">
        <v>86</v>
      </c>
      <c r="B18" s="24" t="s">
        <v>87</v>
      </c>
      <c r="C18" s="15" t="s">
        <v>88</v>
      </c>
      <c r="D18" s="16" t="s">
        <v>89</v>
      </c>
      <c r="E18" s="17" t="s">
        <v>90</v>
      </c>
      <c r="F18" s="18" t="s">
        <v>33</v>
      </c>
      <c r="G18" s="17"/>
      <c r="H18" s="19" t="s">
        <v>6</v>
      </c>
      <c r="I18" s="19"/>
      <c r="J18" s="17"/>
    </row>
    <row r="19" customFormat="false" ht="69.75" hidden="false" customHeight="true" outlineLevel="0" collapsed="false">
      <c r="A19" s="13" t="s">
        <v>91</v>
      </c>
      <c r="B19" s="24" t="s">
        <v>87</v>
      </c>
      <c r="C19" s="15" t="s">
        <v>92</v>
      </c>
      <c r="D19" s="16" t="s">
        <v>93</v>
      </c>
      <c r="E19" s="17" t="s">
        <v>94</v>
      </c>
      <c r="F19" s="23" t="s">
        <v>81</v>
      </c>
      <c r="G19" s="17"/>
      <c r="H19" s="19" t="s">
        <v>6</v>
      </c>
      <c r="I19" s="19"/>
      <c r="J19" s="17"/>
    </row>
    <row r="20" customFormat="false" ht="69.75" hidden="false" customHeight="true" outlineLevel="0" collapsed="false">
      <c r="A20" s="13" t="s">
        <v>95</v>
      </c>
      <c r="B20" s="24" t="s">
        <v>87</v>
      </c>
      <c r="C20" s="15" t="s">
        <v>96</v>
      </c>
      <c r="D20" s="16" t="s">
        <v>97</v>
      </c>
      <c r="E20" s="17" t="s">
        <v>98</v>
      </c>
      <c r="F20" s="18" t="s">
        <v>33</v>
      </c>
      <c r="G20" s="17"/>
      <c r="H20" s="19" t="s">
        <v>6</v>
      </c>
      <c r="I20" s="19"/>
      <c r="J20" s="17"/>
    </row>
    <row r="21" customFormat="false" ht="69.75" hidden="false" customHeight="true" outlineLevel="0" collapsed="false">
      <c r="A21" s="13" t="s">
        <v>99</v>
      </c>
      <c r="B21" s="24" t="s">
        <v>87</v>
      </c>
      <c r="C21" s="15" t="s">
        <v>100</v>
      </c>
      <c r="D21" s="16" t="s">
        <v>101</v>
      </c>
      <c r="E21" s="17" t="s">
        <v>102</v>
      </c>
      <c r="F21" s="18" t="s">
        <v>33</v>
      </c>
      <c r="G21" s="17"/>
      <c r="H21" s="19" t="s">
        <v>6</v>
      </c>
      <c r="I21" s="19"/>
      <c r="J21" s="17"/>
    </row>
    <row r="22" customFormat="false" ht="69.75" hidden="false" customHeight="true" outlineLevel="0" collapsed="false">
      <c r="A22" s="13" t="s">
        <v>103</v>
      </c>
      <c r="B22" s="25" t="s">
        <v>104</v>
      </c>
      <c r="C22" s="15" t="s">
        <v>105</v>
      </c>
      <c r="D22" s="16" t="s">
        <v>106</v>
      </c>
      <c r="E22" s="17" t="s">
        <v>107</v>
      </c>
      <c r="F22" s="23" t="s">
        <v>81</v>
      </c>
      <c r="G22" s="17"/>
      <c r="H22" s="19" t="s">
        <v>6</v>
      </c>
      <c r="I22" s="19"/>
      <c r="J22" s="17"/>
    </row>
    <row r="23" customFormat="false" ht="69.75" hidden="false" customHeight="true" outlineLevel="0" collapsed="false">
      <c r="A23" s="13" t="s">
        <v>108</v>
      </c>
      <c r="B23" s="25" t="s">
        <v>104</v>
      </c>
      <c r="C23" s="15" t="s">
        <v>109</v>
      </c>
      <c r="D23" s="16" t="s">
        <v>110</v>
      </c>
      <c r="E23" s="17" t="s">
        <v>107</v>
      </c>
      <c r="F23" s="23" t="s">
        <v>81</v>
      </c>
      <c r="G23" s="17"/>
      <c r="H23" s="19" t="s">
        <v>6</v>
      </c>
      <c r="I23" s="19"/>
      <c r="J23" s="17"/>
    </row>
    <row r="24" customFormat="false" ht="69.75" hidden="false" customHeight="true" outlineLevel="0" collapsed="false">
      <c r="A24" s="13" t="s">
        <v>111</v>
      </c>
      <c r="B24" s="26" t="s">
        <v>112</v>
      </c>
      <c r="C24" s="15" t="s">
        <v>113</v>
      </c>
      <c r="D24" s="16" t="s">
        <v>114</v>
      </c>
      <c r="E24" s="17" t="s">
        <v>115</v>
      </c>
      <c r="F24" s="18" t="s">
        <v>33</v>
      </c>
      <c r="G24" s="17"/>
      <c r="H24" s="19" t="s">
        <v>6</v>
      </c>
      <c r="I24" s="19"/>
      <c r="J24" s="17"/>
    </row>
    <row r="25" customFormat="false" ht="69.75" hidden="false" customHeight="true" outlineLevel="0" collapsed="false">
      <c r="A25" s="13" t="s">
        <v>116</v>
      </c>
      <c r="B25" s="26" t="s">
        <v>112</v>
      </c>
      <c r="C25" s="15" t="s">
        <v>117</v>
      </c>
      <c r="D25" s="16" t="s">
        <v>118</v>
      </c>
      <c r="E25" s="17" t="s">
        <v>119</v>
      </c>
      <c r="F25" s="18" t="s">
        <v>33</v>
      </c>
      <c r="G25" s="17"/>
      <c r="H25" s="19" t="s">
        <v>6</v>
      </c>
      <c r="I25" s="19"/>
      <c r="J25" s="17"/>
    </row>
    <row r="26" customFormat="false" ht="69.75" hidden="false" customHeight="true" outlineLevel="0" collapsed="false">
      <c r="A26" s="13" t="s">
        <v>120</v>
      </c>
      <c r="B26" s="26" t="s">
        <v>112</v>
      </c>
      <c r="C26" s="15" t="s">
        <v>121</v>
      </c>
      <c r="D26" s="16" t="s">
        <v>122</v>
      </c>
      <c r="E26" s="17" t="s">
        <v>123</v>
      </c>
      <c r="F26" s="18" t="s">
        <v>33</v>
      </c>
      <c r="G26" s="17"/>
      <c r="H26" s="19" t="s">
        <v>6</v>
      </c>
      <c r="I26" s="19"/>
      <c r="J26" s="17"/>
    </row>
    <row r="27" customFormat="false" ht="69.75" hidden="false" customHeight="true" outlineLevel="0" collapsed="false">
      <c r="A27" s="13" t="s">
        <v>124</v>
      </c>
      <c r="B27" s="26" t="s">
        <v>112</v>
      </c>
      <c r="C27" s="15" t="s">
        <v>125</v>
      </c>
      <c r="D27" s="16" t="s">
        <v>126</v>
      </c>
      <c r="E27" s="17" t="s">
        <v>127</v>
      </c>
      <c r="F27" s="18" t="s">
        <v>33</v>
      </c>
      <c r="G27" s="17"/>
      <c r="H27" s="19" t="s">
        <v>6</v>
      </c>
      <c r="I27" s="19"/>
      <c r="J27" s="17"/>
    </row>
    <row r="28" customFormat="false" ht="69.75" hidden="false" customHeight="true" outlineLevel="0" collapsed="false">
      <c r="A28" s="13" t="s">
        <v>128</v>
      </c>
      <c r="B28" s="26" t="s">
        <v>112</v>
      </c>
      <c r="C28" s="15" t="s">
        <v>129</v>
      </c>
      <c r="D28" s="16" t="s">
        <v>130</v>
      </c>
      <c r="E28" s="17" t="s">
        <v>131</v>
      </c>
      <c r="F28" s="18" t="s">
        <v>33</v>
      </c>
      <c r="G28" s="17"/>
      <c r="H28" s="19" t="s">
        <v>6</v>
      </c>
      <c r="I28" s="19"/>
      <c r="J28" s="17"/>
    </row>
    <row r="29" customFormat="false" ht="69.75" hidden="false" customHeight="true" outlineLevel="0" collapsed="false">
      <c r="A29" s="13" t="s">
        <v>132</v>
      </c>
      <c r="B29" s="27" t="s">
        <v>133</v>
      </c>
      <c r="C29" s="15" t="s">
        <v>134</v>
      </c>
      <c r="D29" s="16" t="s">
        <v>135</v>
      </c>
      <c r="E29" s="17" t="s">
        <v>136</v>
      </c>
      <c r="F29" s="18" t="s">
        <v>33</v>
      </c>
      <c r="G29" s="17"/>
      <c r="H29" s="19" t="s">
        <v>6</v>
      </c>
      <c r="I29" s="19"/>
      <c r="J29" s="17"/>
    </row>
    <row r="30" customFormat="false" ht="69.75" hidden="false" customHeight="true" outlineLevel="0" collapsed="false">
      <c r="A30" s="13" t="s">
        <v>137</v>
      </c>
      <c r="B30" s="27" t="s">
        <v>133</v>
      </c>
      <c r="C30" s="15" t="s">
        <v>138</v>
      </c>
      <c r="D30" s="16" t="s">
        <v>139</v>
      </c>
      <c r="E30" s="17" t="s">
        <v>140</v>
      </c>
      <c r="F30" s="18" t="s">
        <v>33</v>
      </c>
      <c r="G30" s="17"/>
      <c r="H30" s="19" t="s">
        <v>6</v>
      </c>
      <c r="I30" s="19"/>
      <c r="J30" s="17"/>
    </row>
    <row r="31" customFormat="false" ht="69.75" hidden="false" customHeight="true" outlineLevel="0" collapsed="false">
      <c r="A31" s="13" t="s">
        <v>141</v>
      </c>
      <c r="B31" s="28" t="s">
        <v>142</v>
      </c>
      <c r="C31" s="15" t="s">
        <v>143</v>
      </c>
      <c r="D31" s="16" t="s">
        <v>144</v>
      </c>
      <c r="E31" s="17" t="s">
        <v>145</v>
      </c>
      <c r="F31" s="18" t="s">
        <v>33</v>
      </c>
      <c r="G31" s="17"/>
      <c r="H31" s="19" t="s">
        <v>6</v>
      </c>
      <c r="I31" s="19"/>
      <c r="J31" s="17"/>
    </row>
    <row r="32" customFormat="false" ht="69.75" hidden="false" customHeight="true" outlineLevel="0" collapsed="false">
      <c r="A32" s="13" t="s">
        <v>146</v>
      </c>
      <c r="B32" s="28" t="s">
        <v>142</v>
      </c>
      <c r="C32" s="15" t="s">
        <v>147</v>
      </c>
      <c r="D32" s="16" t="s">
        <v>148</v>
      </c>
      <c r="E32" s="17" t="s">
        <v>149</v>
      </c>
      <c r="F32" s="18" t="s">
        <v>33</v>
      </c>
      <c r="G32" s="17"/>
      <c r="H32" s="19" t="s">
        <v>6</v>
      </c>
      <c r="I32" s="19"/>
      <c r="J32" s="17"/>
    </row>
    <row r="33" customFormat="false" ht="69.75" hidden="false" customHeight="true" outlineLevel="0" collapsed="false">
      <c r="A33" s="13" t="s">
        <v>150</v>
      </c>
      <c r="B33" s="29" t="s">
        <v>151</v>
      </c>
      <c r="C33" s="15" t="s">
        <v>152</v>
      </c>
      <c r="D33" s="16" t="s">
        <v>153</v>
      </c>
      <c r="E33" s="17" t="s">
        <v>154</v>
      </c>
      <c r="F33" s="18" t="s">
        <v>33</v>
      </c>
      <c r="G33" s="17"/>
      <c r="H33" s="19" t="s">
        <v>6</v>
      </c>
      <c r="I33" s="19"/>
      <c r="J33" s="17"/>
    </row>
  </sheetData>
  <mergeCells count="2">
    <mergeCell ref="A1:J1"/>
    <mergeCell ref="A2:J2"/>
  </mergeCells>
  <conditionalFormatting sqref="H5:H500">
    <cfRule type="cellIs" priority="2" operator="equal" aboveAverage="0" equalAverage="0" bottom="0" percent="0" rank="0" text="" dxfId="26">
      <formula>"Cumple"</formula>
    </cfRule>
    <cfRule type="cellIs" priority="3" operator="equal" aboveAverage="0" equalAverage="0" bottom="0" percent="0" rank="0" text="" dxfId="27">
      <formula>"Parcial"</formula>
    </cfRule>
    <cfRule type="cellIs" priority="4" operator="equal" aboveAverage="0" equalAverage="0" bottom="0" percent="0" rank="0" text="" dxfId="28">
      <formula>"No cumple"</formula>
    </cfRule>
    <cfRule type="cellIs" priority="5" operator="equal" aboveAverage="0" equalAverage="0" bottom="0" percent="0" rank="0" text="" dxfId="29">
      <formula>"N/A"</formula>
    </cfRule>
    <cfRule type="cellIs" priority="6" operator="equal" aboveAverage="0" equalAverage="0" bottom="0" percent="0" rank="0" text="" dxfId="29">
      <formula>"Sin ejecutar"</formula>
    </cfRule>
  </conditionalFormatting>
  <dataValidations count="1">
    <dataValidation allowBlank="true" errorStyle="stop" operator="between" showDropDown="false" showErrorMessage="false" showInputMessage="false" sqref="H5:H500" type="list">
      <formula1>"Cumple,Parcial,No cumple,Sin ejecutar,N/A"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2026-05-29T16:05:39Z</dcterms:created>
  <dc:creator>openpyxl</dc:creator>
  <dc:description/>
  <dc:language>en-US</dc:language>
  <cp:lastModifiedBy/>
  <dcterms:modified xsi:type="dcterms:W3CDTF">2026-05-29T16:05:39Z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