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geral\Documents\Claude\Projects\Practicas\"/>
    </mc:Choice>
  </mc:AlternateContent>
  <xr:revisionPtr revIDLastSave="0" documentId="13_ncr:1_{75B1C682-4C4B-4FF7-822F-2EF89B902BA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sumen" sheetId="1" r:id="rId1"/>
    <sheet name="Casos de prueba" sheetId="2" r:id="rId2"/>
    <sheet name="visuales de las prueba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1" l="1"/>
  <c r="B6" i="1"/>
  <c r="B5" i="1"/>
  <c r="B4" i="1"/>
  <c r="B8" i="1" s="1"/>
  <c r="B3" i="1"/>
</calcChain>
</file>

<file path=xl/sharedStrings.xml><?xml version="1.0" encoding="utf-8"?>
<sst xmlns="http://schemas.openxmlformats.org/spreadsheetml/2006/main" count="227" uniqueCount="155">
  <si>
    <t>Resumen de ejecución — Plan de pruebas Frontend</t>
  </si>
  <si>
    <t>Total de casos</t>
  </si>
  <si>
    <t>Casos que pasaron</t>
  </si>
  <si>
    <t>Casos que fallaron</t>
  </si>
  <si>
    <t>Casos bloqueados</t>
  </si>
  <si>
    <t>Casos sin ejecutar</t>
  </si>
  <si>
    <t>% de éxito</t>
  </si>
  <si>
    <t>Cómo usar este archivo</t>
  </si>
  <si>
    <t>1. Levanta el backend y el frontend (npm start) antes de empezar.</t>
  </si>
  <si>
    <t>2. Ve a la hoja 'Casos de prueba' y ejecuta cada caso en el navegador.</t>
  </si>
  <si>
    <t>3. Registra lo observado en 'Resultado obtenido'.</t>
  </si>
  <si>
    <t>4. Cambia 'Estado' a Pasó / Falló / Bloqueado (lista desplegable).</t>
  </si>
  <si>
    <t>5. Anota la fecha y cualquier observación. Los KPIs se actualizan solos.</t>
  </si>
  <si>
    <t>Plan de pruebas — Frontend TuPresupuesto</t>
  </si>
  <si>
    <t>27 casos · React 18 · pruebas en el navegador con el backend corriendo</t>
  </si>
  <si>
    <t>ID</t>
  </si>
  <si>
    <t>Módulo</t>
  </si>
  <si>
    <t>Caso de prueba</t>
  </si>
  <si>
    <t>Pasos</t>
  </si>
  <si>
    <t>Resultado esperado</t>
  </si>
  <si>
    <t>Resultado obtenido</t>
  </si>
  <si>
    <t>Estado</t>
  </si>
  <si>
    <t>Fecha de ejecución</t>
  </si>
  <si>
    <t>Observaciones</t>
  </si>
  <si>
    <t>PF-AU-01</t>
  </si>
  <si>
    <t>Auth</t>
  </si>
  <si>
    <t>Registro de usuario desde la interfaz</t>
  </si>
  <si>
    <t>1. Ir a /register.
2. Completar nombre, email, contraseña y confirmación.
3. Clic en 'Crear cuenta'.</t>
  </si>
  <si>
    <t>Redirige al dashboard. El nombre del usuario aparece en la barra lateral.</t>
  </si>
  <si>
    <t>PF-AU-02</t>
  </si>
  <si>
    <t>Validación de campos vacíos</t>
  </si>
  <si>
    <t>1. En /login, dejar los campos vacíos.
2. Pulsar 'Iniciar sesión'.</t>
  </si>
  <si>
    <t>Se muestra un mensaje de error. No se realiza la petición al backend.</t>
  </si>
  <si>
    <t>PF-AU-03</t>
  </si>
  <si>
    <t>Login con credenciales incorrectas</t>
  </si>
  <si>
    <t>1. Ir a /login.
2. Ingresar email/contraseña incorrectos y enviar.</t>
  </si>
  <si>
    <t>Banner rojo con el mensaje 'Correo o contraseña incorrectos'.</t>
  </si>
  <si>
    <t>PF-AU-04</t>
  </si>
  <si>
    <t>Cerrar sesión</t>
  </si>
  <si>
    <t>1. Estando autenticado, clic en 'Cerrar sesión' de la barra lateral.</t>
  </si>
  <si>
    <t>Redirige a /login. Se elimina el token de localStorage.</t>
  </si>
  <si>
    <t>PF-AU-05</t>
  </si>
  <si>
    <t>Persistencia de sesión al recargar</t>
  </si>
  <si>
    <t>1. Iniciar sesión.
2. Recargar el navegador (F5).</t>
  </si>
  <si>
    <t>El usuario sigue autenticado dentro del dashboard, sin pedir login de nuevo.</t>
  </si>
  <si>
    <t>PF-AU-06</t>
  </si>
  <si>
    <t>Acceso a ruta privada sin sesión</t>
  </si>
  <si>
    <t>1. Sin estar autenticado, escribir /dashboard en la URL.</t>
  </si>
  <si>
    <t>Redirige automáticamente a /login.</t>
  </si>
  <si>
    <t>PF-DA-01</t>
  </si>
  <si>
    <t>Dashboard</t>
  </si>
  <si>
    <t>Tarjetas de resumen</t>
  </si>
  <si>
    <t>1. Con al menos 1 ingreso y 1 gasto del mes, ir a /dashboard.</t>
  </si>
  <si>
    <t>Las tres tarjetas (ingresos, gastos, balance) muestran montos formateados en COP.</t>
  </si>
  <si>
    <t>PF-DA-02</t>
  </si>
  <si>
    <t>Gráfica mensual</t>
  </si>
  <si>
    <t>1. Con datos de varios meses, observar la gráfica de barras.</t>
  </si>
  <si>
    <t>Se renderiza con barras verdes (ingresos) y rojas (gastos). Los tooltips muestran montos en COP.</t>
  </si>
  <si>
    <t>PF-DA-03</t>
  </si>
  <si>
    <t>Estado vacío</t>
  </si>
  <si>
    <t>1. Con un usuario recién creado y sin datos, entrar al dashboard.</t>
  </si>
  <si>
    <t>Se muestran mensajes de estado vacío en cada sección. No hay errores en consola.</t>
  </si>
  <si>
    <t>PF-DA-04</t>
  </si>
  <si>
    <t>Navegación desde las tarjetas</t>
  </si>
  <si>
    <t>1. En el dashboard, clic en la tarjeta de Ingresos.</t>
  </si>
  <si>
    <t>Redirige a la página /ingresos.</t>
  </si>
  <si>
    <t>PF-TX-01</t>
  </si>
  <si>
    <t>Transacciones</t>
  </si>
  <si>
    <t>Crear ingreso</t>
  </si>
  <si>
    <t>1. Ir a /ingresos.
2. Llenar descripción, categoría, monto y fecha.
3. Enviar el formulario.</t>
  </si>
  <si>
    <t>El ingreso aparece al inicio del listado. El total mostrado se actualiza.</t>
  </si>
  <si>
    <t>PF-TX-02</t>
  </si>
  <si>
    <t>Crear gasto</t>
  </si>
  <si>
    <t>1. Ir a /gastos.
2. Llenar el formulario y enviar.</t>
  </si>
  <si>
    <t>El gasto aparece en el listado y el total cambia.</t>
  </si>
  <si>
    <t>PF-TX-03</t>
  </si>
  <si>
    <t>Editar transacción</t>
  </si>
  <si>
    <t>1. Clic en 'Editar' de una transacción.
2. Modificar el monto.
3. Guardar.</t>
  </si>
  <si>
    <t>El listado refleja el nuevo monto y el total se recalcula.</t>
  </si>
  <si>
    <t>PF-TX-04</t>
  </si>
  <si>
    <t>Eliminar con confirmación</t>
  </si>
  <si>
    <t>1. Clic en el ícono de papelera de una transacción.
2. Confirmar el diálogo.</t>
  </si>
  <si>
    <t>La transacción desaparece del listado. El total se actualiza.</t>
  </si>
  <si>
    <t>PF-TX-05</t>
  </si>
  <si>
    <t>Validaciones del formulario</t>
  </si>
  <si>
    <t>1. Intentar guardar con descripción vacía o monto cero.</t>
  </si>
  <si>
    <t>Se muestra un mensaje de error. No se envía la petición.</t>
  </si>
  <si>
    <t>PF-ME-01</t>
  </si>
  <si>
    <t>Metas</t>
  </si>
  <si>
    <t>Crear meta de ahorro</t>
  </si>
  <si>
    <t>1. Ir a /metas.
2. Llenar nombre y monto objetivo.
3. Crear meta.</t>
  </si>
  <si>
    <t>Aparece la tarjeta de la meta con la barra de progreso al 0%.</t>
  </si>
  <si>
    <t>PF-ME-02</t>
  </si>
  <si>
    <t>Aportar a una meta</t>
  </si>
  <si>
    <t>1. Clic en '+ Aportar' de una meta.
2. Ingresar 25000 y confirmar.</t>
  </si>
  <si>
    <t>El acumulado aumenta en 25000. La barra y el porcentaje se actualizan.</t>
  </si>
  <si>
    <t>PF-ME-03</t>
  </si>
  <si>
    <t>Ajustar el acumulado (fijar valor)</t>
  </si>
  <si>
    <t>1. Clic en '✎ Ajustar'.
2. El input aparece prellenado con el acumulado actual.
3. Cambiar a 100000 y confirmar.</t>
  </si>
  <si>
    <t>El acumulado queda exactamente en 100000 (reemplaza, no suma).</t>
  </si>
  <si>
    <t>PF-ME-04</t>
  </si>
  <si>
    <t>Editar meta completa</t>
  </si>
  <si>
    <t>1. Clic en 'Editar' de una meta.
2. Cambiar nombre, objetivo o fecha límite.
3. Guardar.</t>
  </si>
  <si>
    <t>Los cambios se reflejan en la tarjeta de la meta.</t>
  </si>
  <si>
    <t>PF-ME-05</t>
  </si>
  <si>
    <t>Eliminar meta</t>
  </si>
  <si>
    <t>1. Clic en el ícono de papelera de una meta.
2. Confirmar el diálogo.</t>
  </si>
  <si>
    <t>La meta desaparece de la grilla.</t>
  </si>
  <si>
    <t>PF-ME-06</t>
  </si>
  <si>
    <t>Color de la barra de progreso</t>
  </si>
  <si>
    <t>1. Aportar hasta superar el 50% del objetivo.
2. Aportar hasta llegar al 100%.</t>
  </si>
  <si>
    <t>Entre 50–99% la barra es azul; al 100% la barra es verde.</t>
  </si>
  <si>
    <t>PF-BU-01</t>
  </si>
  <si>
    <t>Presupuesto</t>
  </si>
  <si>
    <t>Configurar presupuesto del mes</t>
  </si>
  <si>
    <t>1. Ir a /presupuesto.
2. Asignar límites a 2 o 3 categorías.
3. Guardar.</t>
  </si>
  <si>
    <t>Banner verde de éxito. Los valores persisten al cambiar de mes y volver.</t>
  </si>
  <si>
    <t>PF-BU-02</t>
  </si>
  <si>
    <t>Selección de mes</t>
  </si>
  <si>
    <t>1. Cambiar el selector de mes a uno anterior.</t>
  </si>
  <si>
    <t>Se cargan los límites guardados de ese mes (o vacíos si no existían).</t>
  </si>
  <si>
    <t>PF-BU-03</t>
  </si>
  <si>
    <t>Semáforo de ejecución</t>
  </si>
  <si>
    <t>1. Tener gastos que sumen ~85% del límite de una categoría.</t>
  </si>
  <si>
    <t>La barra de esa categoría se muestra en color ámbar.</t>
  </si>
  <si>
    <t>PF-BU-04</t>
  </si>
  <si>
    <t>Alerta de excesos</t>
  </si>
  <si>
    <t>1. Provocar que el gastado supere el límite en una o más categorías.</t>
  </si>
  <si>
    <t>Banner rojo de alerta arriba indicando las categorías excedidas.</t>
  </si>
  <si>
    <t>PF-RE-01</t>
  </si>
  <si>
    <t>Responsivo</t>
  </si>
  <si>
    <t>Vista móvil</t>
  </si>
  <si>
    <t>1. Redimensionar el navegador a &lt;768 px (o usar la vista de dispositivo en DevTools).</t>
  </si>
  <si>
    <t>La barra lateral se oculta y aparece la barra de navegación inferior.</t>
  </si>
  <si>
    <t>PF-RE-02</t>
  </si>
  <si>
    <t>Formularios en móvil</t>
  </si>
  <si>
    <t>1. Probar las páginas de Ingresos y Presupuesto en ancho móvil.</t>
  </si>
  <si>
    <t>Los inputs se apilan en una sola columna. No hay scroll horizontal.</t>
  </si>
  <si>
    <t>Redirije al dashboard</t>
  </si>
  <si>
    <t>Pasó</t>
  </si>
  <si>
    <t>se muestra el error</t>
  </si>
  <si>
    <t>redirije al login</t>
  </si>
  <si>
    <t>el usuario sigue autenticado</t>
  </si>
  <si>
    <t>se ven las barras</t>
  </si>
  <si>
    <t>se ve vacio</t>
  </si>
  <si>
    <t>redirije a las páginas pertinentes</t>
  </si>
  <si>
    <t>se muestra al salir de la página o al reiniciarla</t>
  </si>
  <si>
    <t>Bloqueado</t>
  </si>
  <si>
    <t>El listado refleja el monto para editar</t>
  </si>
  <si>
    <t>se elimina y el total se actualiza</t>
  </si>
  <si>
    <t>muestra el error</t>
  </si>
  <si>
    <t>se puede verificar que se aumenta el acumulado</t>
  </si>
  <si>
    <t>se puede verificar que se completa el acumulado pero no cambia</t>
  </si>
  <si>
    <t>si se puede  notar la diferencia de colores del 0 al 50 amarillo del 50 al 99 azul y verde al llegar al 100</t>
  </si>
  <si>
    <t>a parece vacio ya que no existia informcación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</si>
</sst>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</font>
    <font>
      <b/>
      <sz val="11"/>
      <color rgb="FF1E293B"/>
      <name val="Calibri"/>
      <family val="2"/>
    </font>
    <font>
      <b/>
      <sz val="14"/>
      <color rgb="FFFFFFFF"/>
      <name val="Calibri"/>
      <family val="2"/>
    </font>
    <font>
      <b/>
      <sz val="12"/>
      <color rgb="FF0A2342"/>
      <name val="Calibri"/>
      <family val="2"/>
    </font>
    <font>
      <sz val="10"/>
      <color rgb="FF1E293B"/>
      <name val="Calibri"/>
      <family val="2"/>
    </font>
    <font>
      <i/>
      <sz val="11"/>
      <color rgb="FF64748B"/>
      <name val="Calibri"/>
      <family val="2"/>
    </font>
    <font>
      <b/>
      <sz val="11"/>
      <color rgb="FFFFFFFF"/>
      <name val="Calibri"/>
      <family val="2"/>
    </font>
    <font>
      <b/>
      <sz val="10"/>
      <color rgb="FF0A2342"/>
      <name val="Consolas"/>
      <family val="3"/>
    </font>
    <font>
      <b/>
      <sz val="10"/>
      <color rgb="FF5B21B6"/>
      <name val="Calibri"/>
      <family val="2"/>
    </font>
    <font>
      <b/>
      <sz val="10"/>
      <color rgb="FF0369A1"/>
      <name val="Calibri"/>
      <family val="2"/>
    </font>
    <font>
      <b/>
      <sz val="10"/>
      <color rgb="FF065F46"/>
      <name val="Calibri"/>
      <family val="2"/>
    </font>
    <font>
      <b/>
      <sz val="10"/>
      <color rgb="FF92400E"/>
      <name val="Calibri"/>
      <family val="2"/>
    </font>
    <font>
      <b/>
      <sz val="10"/>
      <color rgb="FF9F1239"/>
      <name val="Calibri"/>
      <family val="2"/>
    </font>
    <font>
      <b/>
      <sz val="10"/>
      <color rgb="FF115E59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A2342"/>
        <bgColor rgb="FF1E293B"/>
      </patternFill>
    </fill>
    <fill>
      <patternFill patternType="solid">
        <fgColor rgb="FFF0F4F8"/>
        <bgColor rgb="FFF1F5F9"/>
      </patternFill>
    </fill>
    <fill>
      <patternFill patternType="solid">
        <fgColor rgb="FF059669"/>
        <bgColor rgb="FF028090"/>
      </patternFill>
    </fill>
    <fill>
      <patternFill patternType="solid">
        <fgColor rgb="FFE11D48"/>
        <bgColor rgb="FF9F1239"/>
      </patternFill>
    </fill>
    <fill>
      <patternFill patternType="solid">
        <fgColor rgb="FFF59E0B"/>
        <bgColor rgb="FFFFCC00"/>
      </patternFill>
    </fill>
    <fill>
      <patternFill patternType="solid">
        <fgColor rgb="FF64748B"/>
        <bgColor rgb="FF808080"/>
      </patternFill>
    </fill>
    <fill>
      <patternFill patternType="solid">
        <fgColor rgb="FF028090"/>
        <bgColor rgb="FF0369A1"/>
      </patternFill>
    </fill>
    <fill>
      <patternFill patternType="solid">
        <fgColor rgb="FFEDE9FE"/>
        <bgColor rgb="FFF0F4F8"/>
      </patternFill>
    </fill>
    <fill>
      <patternFill patternType="solid">
        <fgColor rgb="FFF8FAFC"/>
        <bgColor rgb="FFFFFFFF"/>
      </patternFill>
    </fill>
    <fill>
      <patternFill patternType="solid">
        <fgColor rgb="FFE0F2FE"/>
        <bgColor rgb="FFF0F4F8"/>
      </patternFill>
    </fill>
    <fill>
      <patternFill patternType="solid">
        <fgColor rgb="FFD1FAE5"/>
        <bgColor rgb="FFCCFBF1"/>
      </patternFill>
    </fill>
    <fill>
      <patternFill patternType="solid">
        <fgColor rgb="FFFEF3C7"/>
        <bgColor rgb="FFFFE4E6"/>
      </patternFill>
    </fill>
    <fill>
      <patternFill patternType="solid">
        <fgColor rgb="FFFFE4E6"/>
        <bgColor rgb="FFEDE9FE"/>
      </patternFill>
    </fill>
    <fill>
      <patternFill patternType="solid">
        <fgColor rgb="FFCCFBF1"/>
        <bgColor rgb="FFD1FAE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3" fillId="8" borderId="0" xfId="0" applyNumberFormat="1" applyFont="1" applyFill="1" applyAlignment="1">
      <alignment horizontal="center" vertical="center"/>
    </xf>
    <xf numFmtId="0" fontId="4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/>
    </xf>
    <xf numFmtId="0" fontId="9" fillId="9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/>
    </xf>
    <xf numFmtId="0" fontId="5" fillId="10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center" vertical="top"/>
    </xf>
    <xf numFmtId="0" fontId="10" fillId="11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sz val="10"/>
        <color rgb="FF64748B"/>
        <name val="Calibri"/>
        <charset val="1"/>
      </font>
      <fill>
        <patternFill>
          <bgColor rgb="FFF1F5F9"/>
        </patternFill>
      </fill>
    </dxf>
    <dxf>
      <font>
        <b/>
        <sz val="10"/>
        <color rgb="FFB45309"/>
        <name val="Calibri"/>
        <charset val="1"/>
      </font>
      <fill>
        <patternFill>
          <bgColor rgb="FFFEF3C7"/>
        </patternFill>
      </fill>
    </dxf>
    <dxf>
      <font>
        <b/>
        <sz val="10"/>
        <color rgb="FFE11D48"/>
        <name val="Calibri"/>
        <charset val="1"/>
      </font>
      <fill>
        <patternFill>
          <bgColor rgb="FFFFE4E6"/>
        </patternFill>
      </fill>
    </dxf>
    <dxf>
      <font>
        <b/>
        <sz val="10"/>
        <color rgb="FF059669"/>
        <name val="Calibri"/>
        <charset val="1"/>
      </font>
      <fill>
        <patternFill>
          <bgColor rgb="FFD1FAE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11D48"/>
      <rgbColor rgb="FF00FF00"/>
      <rgbColor rgb="FF0000FF"/>
      <rgbColor rgb="FFFFFF00"/>
      <rgbColor rgb="FFFF00FF"/>
      <rgbColor rgb="FF00FFFF"/>
      <rgbColor rgb="FF9F1239"/>
      <rgbColor rgb="FF065F46"/>
      <rgbColor rgb="FF000080"/>
      <rgbColor rgb="FF808000"/>
      <rgbColor rgb="FF800080"/>
      <rgbColor rgb="FF028090"/>
      <rgbColor rgb="FFCCCCCC"/>
      <rgbColor rgb="FF808080"/>
      <rgbColor rgb="FF9999FF"/>
      <rgbColor rgb="FFB45309"/>
      <rgbColor rgb="FFFEF3C7"/>
      <rgbColor rgb="FFCCFBF1"/>
      <rgbColor rgb="FF660066"/>
      <rgbColor rgb="FFFF8080"/>
      <rgbColor rgb="FF0369A1"/>
      <rgbColor rgb="FFDDDDDD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0F2FE"/>
      <rgbColor rgb="FFD1FAE5"/>
      <rgbColor rgb="FFF8FAFC"/>
      <rgbColor rgb="FFEDE9FE"/>
      <rgbColor rgb="FFF0F4F8"/>
      <rgbColor rgb="FFF1F5F9"/>
      <rgbColor rgb="FFFFE4E6"/>
      <rgbColor rgb="FF3366FF"/>
      <rgbColor rgb="FF33CCCC"/>
      <rgbColor rgb="FF99CC00"/>
      <rgbColor rgb="FFFFCC00"/>
      <rgbColor rgb="FFF59E0B"/>
      <rgbColor rgb="FFFF6600"/>
      <rgbColor rgb="FF64748B"/>
      <rgbColor rgb="FF969696"/>
      <rgbColor rgb="FF0A2342"/>
      <rgbColor rgb="FF339966"/>
      <rgbColor rgb="FF115E59"/>
      <rgbColor rgb="FF333300"/>
      <rgbColor rgb="FF92400E"/>
      <rgbColor rgb="FF993366"/>
      <rgbColor rgb="FF5B21B6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320040</xdr:colOff>
      <xdr:row>17</xdr:row>
      <xdr:rowOff>48231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521CE2-10D9-9DA3-78B0-D3FFC5873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0"/>
          <a:ext cx="2697480" cy="315719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1</xdr:rowOff>
    </xdr:from>
    <xdr:to>
      <xdr:col>8</xdr:col>
      <xdr:colOff>754380</xdr:colOff>
      <xdr:row>17</xdr:row>
      <xdr:rowOff>52513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A3C4C9-5AD1-917A-3C8E-F7E3551DF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54880" y="1"/>
          <a:ext cx="2339340" cy="316147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14</xdr:col>
      <xdr:colOff>484661</xdr:colOff>
      <xdr:row>17</xdr:row>
      <xdr:rowOff>76200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8071EA2-FF6B-3FAB-0EB8-D2D59B489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17280" y="0"/>
          <a:ext cx="2862101" cy="3185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4</xdr:col>
      <xdr:colOff>389384</xdr:colOff>
      <xdr:row>35</xdr:row>
      <xdr:rowOff>91439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40CE323-4A8B-30D4-F033-D2572FD73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" y="3657600"/>
          <a:ext cx="2766824" cy="2834639"/>
        </a:xfrm>
        <a:prstGeom prst="rect">
          <a:avLst/>
        </a:prstGeom>
      </xdr:spPr>
    </xdr:pic>
    <xdr:clientData/>
  </xdr:twoCellAnchor>
  <xdr:twoCellAnchor editAs="oneCell">
    <xdr:from>
      <xdr:col>6</xdr:col>
      <xdr:colOff>16074</xdr:colOff>
      <xdr:row>19</xdr:row>
      <xdr:rowOff>167640</xdr:rowOff>
    </xdr:from>
    <xdr:to>
      <xdr:col>12</xdr:col>
      <xdr:colOff>716479</xdr:colOff>
      <xdr:row>35</xdr:row>
      <xdr:rowOff>108772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4CDFF1D-36A4-B068-A7D9-CCD087045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70954" y="3642360"/>
          <a:ext cx="5455285" cy="2867212"/>
        </a:xfrm>
        <a:prstGeom prst="rect">
          <a:avLst/>
        </a:prstGeom>
      </xdr:spPr>
    </xdr:pic>
    <xdr:clientData/>
  </xdr:twoCellAnchor>
  <xdr:twoCellAnchor editAs="oneCell">
    <xdr:from>
      <xdr:col>1</xdr:col>
      <xdr:colOff>24261</xdr:colOff>
      <xdr:row>38</xdr:row>
      <xdr:rowOff>15240</xdr:rowOff>
    </xdr:from>
    <xdr:to>
      <xdr:col>9</xdr:col>
      <xdr:colOff>144781</xdr:colOff>
      <xdr:row>54</xdr:row>
      <xdr:rowOff>85169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4EB335E-7B0D-85C5-640F-1B9010629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6741" y="6964680"/>
          <a:ext cx="6460360" cy="2996009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</xdr:colOff>
      <xdr:row>37</xdr:row>
      <xdr:rowOff>182301</xdr:rowOff>
    </xdr:from>
    <xdr:to>
      <xdr:col>19</xdr:col>
      <xdr:colOff>51633</xdr:colOff>
      <xdr:row>52</xdr:row>
      <xdr:rowOff>126620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A673A1B-42B6-3303-C786-91868FC9D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63000" y="6948861"/>
          <a:ext cx="6345753" cy="2687519"/>
        </a:xfrm>
        <a:prstGeom prst="rect">
          <a:avLst/>
        </a:prstGeom>
      </xdr:spPr>
    </xdr:pic>
    <xdr:clientData/>
  </xdr:twoCellAnchor>
  <xdr:twoCellAnchor editAs="oneCell">
    <xdr:from>
      <xdr:col>0</xdr:col>
      <xdr:colOff>784861</xdr:colOff>
      <xdr:row>57</xdr:row>
      <xdr:rowOff>11705</xdr:rowOff>
    </xdr:from>
    <xdr:to>
      <xdr:col>7</xdr:col>
      <xdr:colOff>236221</xdr:colOff>
      <xdr:row>68</xdr:row>
      <xdr:rowOff>87265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823C6DD-8F73-651A-EC62-70B6DC3A8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4861" y="10435865"/>
          <a:ext cx="4998720" cy="2087240"/>
        </a:xfrm>
        <a:prstGeom prst="rect">
          <a:avLst/>
        </a:prstGeom>
      </xdr:spPr>
    </xdr:pic>
    <xdr:clientData/>
  </xdr:twoCellAnchor>
  <xdr:twoCellAnchor editAs="oneCell">
    <xdr:from>
      <xdr:col>9</xdr:col>
      <xdr:colOff>7621</xdr:colOff>
      <xdr:row>57</xdr:row>
      <xdr:rowOff>23575</xdr:rowOff>
    </xdr:from>
    <xdr:to>
      <xdr:col>15</xdr:col>
      <xdr:colOff>251461</xdr:colOff>
      <xdr:row>68</xdr:row>
      <xdr:rowOff>54519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4ABBC76-41EE-F2CB-CD4C-63125A6FC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39941" y="10447735"/>
          <a:ext cx="4998720" cy="204262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71</xdr:row>
      <xdr:rowOff>7621</xdr:rowOff>
    </xdr:from>
    <xdr:to>
      <xdr:col>8</xdr:col>
      <xdr:colOff>490099</xdr:colOff>
      <xdr:row>79</xdr:row>
      <xdr:rowOff>38101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7132A46-06A5-B1C9-AB5B-54A227A6D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0100" y="12992101"/>
          <a:ext cx="6029839" cy="1493520"/>
        </a:xfrm>
        <a:prstGeom prst="rect">
          <a:avLst/>
        </a:prstGeom>
      </xdr:spPr>
    </xdr:pic>
    <xdr:clientData/>
  </xdr:twoCellAnchor>
  <xdr:twoCellAnchor editAs="oneCell">
    <xdr:from>
      <xdr:col>10</xdr:col>
      <xdr:colOff>777240</xdr:colOff>
      <xdr:row>70</xdr:row>
      <xdr:rowOff>153970</xdr:rowOff>
    </xdr:from>
    <xdr:to>
      <xdr:col>16</xdr:col>
      <xdr:colOff>61992</xdr:colOff>
      <xdr:row>79</xdr:row>
      <xdr:rowOff>116615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05C98E0-4CF1-CCE4-5936-37A977420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702040" y="12955570"/>
          <a:ext cx="4039632" cy="160856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15241</xdr:colOff>
      <xdr:row>82</xdr:row>
      <xdr:rowOff>53340</xdr:rowOff>
    </xdr:from>
    <xdr:to>
      <xdr:col>5</xdr:col>
      <xdr:colOff>472441</xdr:colOff>
      <xdr:row>89</xdr:row>
      <xdr:rowOff>163269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4D49046-03AC-1C90-B6CD-5F75D14E3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7721" y="15049500"/>
          <a:ext cx="3627120" cy="1390089"/>
        </a:xfrm>
        <a:prstGeom prst="rect">
          <a:avLst/>
        </a:prstGeom>
      </xdr:spPr>
    </xdr:pic>
    <xdr:clientData/>
  </xdr:twoCellAnchor>
  <xdr:twoCellAnchor editAs="oneCell">
    <xdr:from>
      <xdr:col>5</xdr:col>
      <xdr:colOff>487680</xdr:colOff>
      <xdr:row>82</xdr:row>
      <xdr:rowOff>68580</xdr:rowOff>
    </xdr:from>
    <xdr:to>
      <xdr:col>10</xdr:col>
      <xdr:colOff>126837</xdr:colOff>
      <xdr:row>90</xdr:row>
      <xdr:rowOff>15240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45C250A-28FE-6A2E-4593-D0A56F972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450080" y="15064740"/>
          <a:ext cx="3601557" cy="1409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5</xdr:col>
      <xdr:colOff>510540</xdr:colOff>
      <xdr:row>99</xdr:row>
      <xdr:rowOff>56547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5AD7EEC-EF73-8EEC-0D4B-89FDB63BB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2480" y="16824960"/>
          <a:ext cx="3680460" cy="1336707"/>
        </a:xfrm>
        <a:prstGeom prst="rect">
          <a:avLst/>
        </a:prstGeom>
      </xdr:spPr>
    </xdr:pic>
    <xdr:clientData/>
  </xdr:twoCellAnchor>
  <xdr:twoCellAnchor editAs="oneCell">
    <xdr:from>
      <xdr:col>9</xdr:col>
      <xdr:colOff>7621</xdr:colOff>
      <xdr:row>92</xdr:row>
      <xdr:rowOff>30480</xdr:rowOff>
    </xdr:from>
    <xdr:to>
      <xdr:col>12</xdr:col>
      <xdr:colOff>739141</xdr:colOff>
      <xdr:row>98</xdr:row>
      <xdr:rowOff>172079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91C8122-C6C5-B5A6-207F-B5602C7A3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139941" y="16855440"/>
          <a:ext cx="3108960" cy="1238879"/>
        </a:xfrm>
        <a:prstGeom prst="rect">
          <a:avLst/>
        </a:prstGeom>
      </xdr:spPr>
    </xdr:pic>
    <xdr:clientData/>
  </xdr:twoCellAnchor>
  <xdr:twoCellAnchor editAs="oneCell">
    <xdr:from>
      <xdr:col>1</xdr:col>
      <xdr:colOff>40317</xdr:colOff>
      <xdr:row>102</xdr:row>
      <xdr:rowOff>38100</xdr:rowOff>
    </xdr:from>
    <xdr:to>
      <xdr:col>7</xdr:col>
      <xdr:colOff>617220</xdr:colOff>
      <xdr:row>118</xdr:row>
      <xdr:rowOff>55928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CDBAB49-A751-056F-CBE9-6ACCF028D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32797" y="18691860"/>
          <a:ext cx="5331783" cy="2943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Normal="100" workbookViewId="0">
      <selection sqref="A1:D1"/>
    </sheetView>
  </sheetViews>
  <sheetFormatPr baseColWidth="10" defaultColWidth="8.6640625" defaultRowHeight="14.4" x14ac:dyDescent="0.3"/>
  <cols>
    <col min="1" max="1" width="28" customWidth="1"/>
    <col min="2" max="2" width="16" customWidth="1"/>
    <col min="3" max="4" width="4" customWidth="1"/>
  </cols>
  <sheetData>
    <row r="1" spans="1:4" ht="27.75" customHeight="1" x14ac:dyDescent="0.3">
      <c r="A1" s="3" t="s">
        <v>0</v>
      </c>
      <c r="B1" s="3"/>
      <c r="C1" s="3"/>
      <c r="D1" s="3"/>
    </row>
    <row r="3" spans="1:4" ht="24" customHeight="1" x14ac:dyDescent="0.3">
      <c r="A3" s="4" t="s">
        <v>1</v>
      </c>
      <c r="B3" s="5">
        <f>COUNTA('Casos de prueba'!A5:A31)</f>
        <v>27</v>
      </c>
    </row>
    <row r="4" spans="1:4" ht="24" customHeight="1" x14ac:dyDescent="0.3">
      <c r="A4" s="4" t="s">
        <v>2</v>
      </c>
      <c r="B4" s="6">
        <f>COUNTIF('Casos de prueba'!G5:G31,"Pasó")</f>
        <v>24</v>
      </c>
    </row>
    <row r="5" spans="1:4" ht="24" customHeight="1" x14ac:dyDescent="0.3">
      <c r="A5" s="4" t="s">
        <v>3</v>
      </c>
      <c r="B5" s="7">
        <f>COUNTIF('Casos de prueba'!G5:G31,"Falló")</f>
        <v>0</v>
      </c>
    </row>
    <row r="6" spans="1:4" ht="24" customHeight="1" x14ac:dyDescent="0.3">
      <c r="A6" s="4" t="s">
        <v>4</v>
      </c>
      <c r="B6" s="8">
        <f>COUNTIF('Casos de prueba'!G5:G31,"Bloqueado")</f>
        <v>3</v>
      </c>
    </row>
    <row r="7" spans="1:4" ht="24" customHeight="1" x14ac:dyDescent="0.3">
      <c r="A7" s="4" t="s">
        <v>5</v>
      </c>
      <c r="B7" s="9">
        <f>COUNTIF('Casos de prueba'!G5:G31,"Sin ejecutar")</f>
        <v>0</v>
      </c>
    </row>
    <row r="8" spans="1:4" ht="24" customHeight="1" x14ac:dyDescent="0.3">
      <c r="A8" s="4" t="s">
        <v>6</v>
      </c>
      <c r="B8" s="10">
        <f>IFERROR(B4/B3, 0)</f>
        <v>0.88888888888888884</v>
      </c>
    </row>
    <row r="10" spans="1:4" ht="15.6" x14ac:dyDescent="0.3">
      <c r="A10" s="11" t="s">
        <v>7</v>
      </c>
    </row>
    <row r="11" spans="1:4" x14ac:dyDescent="0.3">
      <c r="A11" s="1" t="s">
        <v>8</v>
      </c>
      <c r="B11" s="1"/>
      <c r="C11" s="1"/>
      <c r="D11" s="1"/>
    </row>
    <row r="12" spans="1:4" x14ac:dyDescent="0.3">
      <c r="A12" s="1" t="s">
        <v>9</v>
      </c>
      <c r="B12" s="1"/>
      <c r="C12" s="1"/>
      <c r="D12" s="1"/>
    </row>
    <row r="13" spans="1:4" x14ac:dyDescent="0.3">
      <c r="A13" s="1" t="s">
        <v>10</v>
      </c>
      <c r="B13" s="1"/>
      <c r="C13" s="1"/>
      <c r="D13" s="1"/>
    </row>
    <row r="14" spans="1:4" x14ac:dyDescent="0.3">
      <c r="A14" s="1" t="s">
        <v>11</v>
      </c>
      <c r="B14" s="1"/>
      <c r="C14" s="1"/>
      <c r="D14" s="1"/>
    </row>
    <row r="15" spans="1:4" x14ac:dyDescent="0.3">
      <c r="A15" s="1" t="s">
        <v>12</v>
      </c>
      <c r="B15" s="1"/>
      <c r="C15" s="1"/>
      <c r="D15" s="1"/>
    </row>
  </sheetData>
  <mergeCells count="6">
    <mergeCell ref="A15:D15"/>
    <mergeCell ref="A1:D1"/>
    <mergeCell ref="A11:D11"/>
    <mergeCell ref="A12:D12"/>
    <mergeCell ref="A13:D13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zoomScaleNormal="100" workbookViewId="0">
      <pane ySplit="4" topLeftCell="A20" activePane="bottomLeft" state="frozen"/>
      <selection pane="bottomLeft" activeCell="G31" sqref="G31"/>
    </sheetView>
  </sheetViews>
  <sheetFormatPr baseColWidth="10" defaultColWidth="8.6640625" defaultRowHeight="14.4" x14ac:dyDescent="0.3"/>
  <cols>
    <col min="1" max="1" width="12" customWidth="1"/>
    <col min="2" max="2" width="14" customWidth="1"/>
    <col min="3" max="3" width="30" customWidth="1"/>
    <col min="4" max="4" width="40" customWidth="1"/>
    <col min="5" max="5" width="38" customWidth="1"/>
    <col min="6" max="6" width="26" customWidth="1"/>
    <col min="7" max="8" width="14" customWidth="1"/>
    <col min="9" max="9" width="24" customWidth="1"/>
  </cols>
  <sheetData>
    <row r="1" spans="1:9" ht="27.75" customHeight="1" x14ac:dyDescent="0.3">
      <c r="A1" s="3" t="s">
        <v>13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2" t="s">
        <v>14</v>
      </c>
      <c r="B2" s="2"/>
      <c r="C2" s="2"/>
      <c r="D2" s="2"/>
      <c r="E2" s="2"/>
      <c r="F2" s="2"/>
      <c r="G2" s="2"/>
      <c r="H2" s="2"/>
      <c r="I2" s="2"/>
    </row>
    <row r="4" spans="1:9" ht="31.5" customHeight="1" x14ac:dyDescent="0.3">
      <c r="A4" s="12" t="s">
        <v>15</v>
      </c>
      <c r="B4" s="12" t="s">
        <v>16</v>
      </c>
      <c r="C4" s="12" t="s">
        <v>17</v>
      </c>
      <c r="D4" s="12" t="s">
        <v>18</v>
      </c>
      <c r="E4" s="12" t="s">
        <v>19</v>
      </c>
      <c r="F4" s="12" t="s">
        <v>20</v>
      </c>
      <c r="G4" s="12" t="s">
        <v>21</v>
      </c>
      <c r="H4" s="12" t="s">
        <v>22</v>
      </c>
      <c r="I4" s="12" t="s">
        <v>23</v>
      </c>
    </row>
    <row r="5" spans="1:9" ht="60" customHeight="1" x14ac:dyDescent="0.3">
      <c r="A5" s="13" t="s">
        <v>24</v>
      </c>
      <c r="B5" s="14" t="s">
        <v>25</v>
      </c>
      <c r="C5" s="15" t="s">
        <v>26</v>
      </c>
      <c r="D5" s="15" t="s">
        <v>27</v>
      </c>
      <c r="E5" s="15" t="s">
        <v>28</v>
      </c>
      <c r="F5" s="15" t="s">
        <v>138</v>
      </c>
      <c r="G5" s="16" t="s">
        <v>139</v>
      </c>
      <c r="H5" s="16"/>
      <c r="I5" s="15"/>
    </row>
    <row r="6" spans="1:9" ht="60" customHeight="1" x14ac:dyDescent="0.3">
      <c r="A6" s="13" t="s">
        <v>29</v>
      </c>
      <c r="B6" s="14" t="s">
        <v>25</v>
      </c>
      <c r="C6" s="17" t="s">
        <v>30</v>
      </c>
      <c r="D6" s="17" t="s">
        <v>31</v>
      </c>
      <c r="E6" s="17" t="s">
        <v>32</v>
      </c>
      <c r="F6" s="17" t="s">
        <v>140</v>
      </c>
      <c r="G6" s="16" t="s">
        <v>139</v>
      </c>
      <c r="H6" s="18"/>
      <c r="I6" s="17"/>
    </row>
    <row r="7" spans="1:9" ht="60" customHeight="1" x14ac:dyDescent="0.3">
      <c r="A7" s="13" t="s">
        <v>33</v>
      </c>
      <c r="B7" s="14" t="s">
        <v>25</v>
      </c>
      <c r="C7" s="15" t="s">
        <v>34</v>
      </c>
      <c r="D7" s="15" t="s">
        <v>35</v>
      </c>
      <c r="E7" s="15" t="s">
        <v>36</v>
      </c>
      <c r="F7" s="15" t="s">
        <v>36</v>
      </c>
      <c r="G7" s="16" t="s">
        <v>139</v>
      </c>
      <c r="H7" s="16"/>
      <c r="I7" s="15"/>
    </row>
    <row r="8" spans="1:9" ht="60" customHeight="1" x14ac:dyDescent="0.3">
      <c r="A8" s="13" t="s">
        <v>37</v>
      </c>
      <c r="B8" s="14" t="s">
        <v>25</v>
      </c>
      <c r="C8" s="17" t="s">
        <v>38</v>
      </c>
      <c r="D8" s="17" t="s">
        <v>39</v>
      </c>
      <c r="E8" s="17" t="s">
        <v>40</v>
      </c>
      <c r="F8" s="17" t="s">
        <v>141</v>
      </c>
      <c r="G8" s="16" t="s">
        <v>139</v>
      </c>
      <c r="H8" s="18"/>
      <c r="I8" s="17"/>
    </row>
    <row r="9" spans="1:9" ht="60" customHeight="1" x14ac:dyDescent="0.3">
      <c r="A9" s="13" t="s">
        <v>41</v>
      </c>
      <c r="B9" s="14" t="s">
        <v>25</v>
      </c>
      <c r="C9" s="15" t="s">
        <v>42</v>
      </c>
      <c r="D9" s="15" t="s">
        <v>43</v>
      </c>
      <c r="E9" s="15" t="s">
        <v>44</v>
      </c>
      <c r="F9" s="15" t="s">
        <v>142</v>
      </c>
      <c r="G9" s="16" t="s">
        <v>139</v>
      </c>
      <c r="H9" s="16"/>
      <c r="I9" s="15"/>
    </row>
    <row r="10" spans="1:9" ht="60" customHeight="1" x14ac:dyDescent="0.3">
      <c r="A10" s="13" t="s">
        <v>45</v>
      </c>
      <c r="B10" s="14" t="s">
        <v>25</v>
      </c>
      <c r="C10" s="17" t="s">
        <v>46</v>
      </c>
      <c r="D10" s="17" t="s">
        <v>47</v>
      </c>
      <c r="E10" s="17" t="s">
        <v>48</v>
      </c>
      <c r="F10" s="17" t="s">
        <v>48</v>
      </c>
      <c r="G10" s="16" t="s">
        <v>139</v>
      </c>
      <c r="H10" s="18"/>
      <c r="I10" s="17"/>
    </row>
    <row r="11" spans="1:9" ht="60" customHeight="1" x14ac:dyDescent="0.3">
      <c r="A11" s="13" t="s">
        <v>49</v>
      </c>
      <c r="B11" s="19" t="s">
        <v>50</v>
      </c>
      <c r="C11" s="15" t="s">
        <v>51</v>
      </c>
      <c r="D11" s="15" t="s">
        <v>52</v>
      </c>
      <c r="E11" s="15" t="s">
        <v>53</v>
      </c>
      <c r="F11" s="15" t="s">
        <v>53</v>
      </c>
      <c r="G11" s="16" t="s">
        <v>139</v>
      </c>
      <c r="H11" s="16"/>
      <c r="I11" s="15"/>
    </row>
    <row r="12" spans="1:9" ht="60" customHeight="1" x14ac:dyDescent="0.3">
      <c r="A12" s="13" t="s">
        <v>54</v>
      </c>
      <c r="B12" s="19" t="s">
        <v>50</v>
      </c>
      <c r="C12" s="17" t="s">
        <v>55</v>
      </c>
      <c r="D12" s="17" t="s">
        <v>56</v>
      </c>
      <c r="E12" s="17" t="s">
        <v>57</v>
      </c>
      <c r="F12" s="17" t="s">
        <v>143</v>
      </c>
      <c r="G12" s="16" t="s">
        <v>139</v>
      </c>
      <c r="H12" s="18"/>
      <c r="I12" s="17"/>
    </row>
    <row r="13" spans="1:9" ht="60" customHeight="1" x14ac:dyDescent="0.3">
      <c r="A13" s="13" t="s">
        <v>58</v>
      </c>
      <c r="B13" s="19" t="s">
        <v>50</v>
      </c>
      <c r="C13" s="15" t="s">
        <v>59</v>
      </c>
      <c r="D13" s="15" t="s">
        <v>60</v>
      </c>
      <c r="E13" s="15" t="s">
        <v>61</v>
      </c>
      <c r="F13" s="15" t="s">
        <v>144</v>
      </c>
      <c r="G13" s="16" t="s">
        <v>139</v>
      </c>
      <c r="H13" s="16"/>
      <c r="I13" s="15"/>
    </row>
    <row r="14" spans="1:9" ht="60" customHeight="1" x14ac:dyDescent="0.3">
      <c r="A14" s="13" t="s">
        <v>62</v>
      </c>
      <c r="B14" s="19" t="s">
        <v>50</v>
      </c>
      <c r="C14" s="17" t="s">
        <v>63</v>
      </c>
      <c r="D14" s="17" t="s">
        <v>64</v>
      </c>
      <c r="E14" s="17" t="s">
        <v>65</v>
      </c>
      <c r="F14" s="17" t="s">
        <v>145</v>
      </c>
      <c r="G14" s="16" t="s">
        <v>139</v>
      </c>
      <c r="H14" s="18"/>
      <c r="I14" s="17"/>
    </row>
    <row r="15" spans="1:9" ht="60" customHeight="1" x14ac:dyDescent="0.3">
      <c r="A15" s="13" t="s">
        <v>66</v>
      </c>
      <c r="B15" s="20" t="s">
        <v>67</v>
      </c>
      <c r="C15" s="15" t="s">
        <v>68</v>
      </c>
      <c r="D15" s="15" t="s">
        <v>69</v>
      </c>
      <c r="E15" s="15" t="s">
        <v>70</v>
      </c>
      <c r="F15" s="15" t="s">
        <v>146</v>
      </c>
      <c r="G15" s="16" t="s">
        <v>147</v>
      </c>
      <c r="H15" s="16"/>
      <c r="I15" s="15"/>
    </row>
    <row r="16" spans="1:9" ht="60" customHeight="1" x14ac:dyDescent="0.3">
      <c r="A16" s="13" t="s">
        <v>71</v>
      </c>
      <c r="B16" s="20" t="s">
        <v>67</v>
      </c>
      <c r="C16" s="17" t="s">
        <v>72</v>
      </c>
      <c r="D16" s="17" t="s">
        <v>73</v>
      </c>
      <c r="E16" s="17" t="s">
        <v>74</v>
      </c>
      <c r="F16" s="15" t="s">
        <v>146</v>
      </c>
      <c r="G16" s="16" t="s">
        <v>147</v>
      </c>
      <c r="H16" s="18"/>
      <c r="I16" s="17"/>
    </row>
    <row r="17" spans="1:9" ht="60" customHeight="1" x14ac:dyDescent="0.3">
      <c r="A17" s="13" t="s">
        <v>75</v>
      </c>
      <c r="B17" s="20" t="s">
        <v>67</v>
      </c>
      <c r="C17" s="15" t="s">
        <v>76</v>
      </c>
      <c r="D17" s="15" t="s">
        <v>77</v>
      </c>
      <c r="E17" s="15" t="s">
        <v>78</v>
      </c>
      <c r="F17" s="15" t="s">
        <v>148</v>
      </c>
      <c r="G17" s="16" t="s">
        <v>139</v>
      </c>
      <c r="H17" s="16"/>
      <c r="I17" s="15"/>
    </row>
    <row r="18" spans="1:9" ht="60" customHeight="1" x14ac:dyDescent="0.3">
      <c r="A18" s="13" t="s">
        <v>79</v>
      </c>
      <c r="B18" s="20" t="s">
        <v>67</v>
      </c>
      <c r="C18" s="17" t="s">
        <v>80</v>
      </c>
      <c r="D18" s="17" t="s">
        <v>81</v>
      </c>
      <c r="E18" s="17" t="s">
        <v>82</v>
      </c>
      <c r="F18" s="17" t="s">
        <v>149</v>
      </c>
      <c r="G18" s="16" t="s">
        <v>139</v>
      </c>
      <c r="H18" s="18"/>
      <c r="I18" s="17"/>
    </row>
    <row r="19" spans="1:9" ht="60" customHeight="1" x14ac:dyDescent="0.3">
      <c r="A19" s="13" t="s">
        <v>83</v>
      </c>
      <c r="B19" s="20" t="s">
        <v>67</v>
      </c>
      <c r="C19" s="15" t="s">
        <v>84</v>
      </c>
      <c r="D19" s="15" t="s">
        <v>85</v>
      </c>
      <c r="E19" s="15" t="s">
        <v>86</v>
      </c>
      <c r="F19" s="15" t="s">
        <v>150</v>
      </c>
      <c r="G19" s="16" t="s">
        <v>139</v>
      </c>
      <c r="H19" s="16"/>
      <c r="I19" s="15"/>
    </row>
    <row r="20" spans="1:9" ht="60" customHeight="1" x14ac:dyDescent="0.3">
      <c r="A20" s="13" t="s">
        <v>87</v>
      </c>
      <c r="B20" s="21" t="s">
        <v>88</v>
      </c>
      <c r="C20" s="17" t="s">
        <v>89</v>
      </c>
      <c r="D20" s="17" t="s">
        <v>90</v>
      </c>
      <c r="E20" s="17" t="s">
        <v>91</v>
      </c>
      <c r="F20" s="17" t="s">
        <v>91</v>
      </c>
      <c r="G20" s="16" t="s">
        <v>139</v>
      </c>
      <c r="H20" s="18"/>
      <c r="I20" s="17"/>
    </row>
    <row r="21" spans="1:9" ht="60" customHeight="1" x14ac:dyDescent="0.3">
      <c r="A21" s="13" t="s">
        <v>92</v>
      </c>
      <c r="B21" s="21" t="s">
        <v>88</v>
      </c>
      <c r="C21" s="15" t="s">
        <v>93</v>
      </c>
      <c r="D21" s="15" t="s">
        <v>94</v>
      </c>
      <c r="E21" s="15" t="s">
        <v>95</v>
      </c>
      <c r="F21" s="15" t="s">
        <v>151</v>
      </c>
      <c r="G21" s="16" t="s">
        <v>139</v>
      </c>
      <c r="H21" s="16"/>
      <c r="I21" s="15"/>
    </row>
    <row r="22" spans="1:9" ht="60" customHeight="1" x14ac:dyDescent="0.3">
      <c r="A22" s="13" t="s">
        <v>96</v>
      </c>
      <c r="B22" s="21" t="s">
        <v>88</v>
      </c>
      <c r="C22" s="17" t="s">
        <v>97</v>
      </c>
      <c r="D22" s="17" t="s">
        <v>98</v>
      </c>
      <c r="E22" s="17" t="s">
        <v>99</v>
      </c>
      <c r="F22" s="17" t="s">
        <v>152</v>
      </c>
      <c r="G22" s="16" t="s">
        <v>147</v>
      </c>
      <c r="H22" s="18"/>
      <c r="I22" s="17"/>
    </row>
    <row r="23" spans="1:9" ht="60" customHeight="1" x14ac:dyDescent="0.3">
      <c r="A23" s="13" t="s">
        <v>100</v>
      </c>
      <c r="B23" s="21" t="s">
        <v>88</v>
      </c>
      <c r="C23" s="15" t="s">
        <v>101</v>
      </c>
      <c r="D23" s="15" t="s">
        <v>102</v>
      </c>
      <c r="E23" s="15" t="s">
        <v>103</v>
      </c>
      <c r="F23" s="15" t="s">
        <v>103</v>
      </c>
      <c r="G23" s="16" t="s">
        <v>139</v>
      </c>
      <c r="H23" s="16"/>
      <c r="I23" s="15"/>
    </row>
    <row r="24" spans="1:9" ht="60" customHeight="1" x14ac:dyDescent="0.3">
      <c r="A24" s="13" t="s">
        <v>104</v>
      </c>
      <c r="B24" s="21" t="s">
        <v>88</v>
      </c>
      <c r="C24" s="17" t="s">
        <v>105</v>
      </c>
      <c r="D24" s="17" t="s">
        <v>106</v>
      </c>
      <c r="E24" s="17" t="s">
        <v>107</v>
      </c>
      <c r="F24" s="17" t="s">
        <v>107</v>
      </c>
      <c r="G24" s="16" t="s">
        <v>139</v>
      </c>
      <c r="H24" s="18"/>
      <c r="I24" s="17"/>
    </row>
    <row r="25" spans="1:9" ht="60" customHeight="1" x14ac:dyDescent="0.3">
      <c r="A25" s="13" t="s">
        <v>108</v>
      </c>
      <c r="B25" s="21" t="s">
        <v>88</v>
      </c>
      <c r="C25" s="15" t="s">
        <v>109</v>
      </c>
      <c r="D25" s="15" t="s">
        <v>110</v>
      </c>
      <c r="E25" s="15" t="s">
        <v>111</v>
      </c>
      <c r="F25" s="15" t="s">
        <v>153</v>
      </c>
      <c r="G25" s="16" t="s">
        <v>139</v>
      </c>
      <c r="H25" s="16"/>
      <c r="I25" s="15"/>
    </row>
    <row r="26" spans="1:9" ht="60" customHeight="1" x14ac:dyDescent="0.3">
      <c r="A26" s="13" t="s">
        <v>112</v>
      </c>
      <c r="B26" s="22" t="s">
        <v>113</v>
      </c>
      <c r="C26" s="17" t="s">
        <v>114</v>
      </c>
      <c r="D26" s="17" t="s">
        <v>115</v>
      </c>
      <c r="E26" s="17" t="s">
        <v>116</v>
      </c>
      <c r="F26" s="17" t="s">
        <v>116</v>
      </c>
      <c r="G26" s="16" t="s">
        <v>139</v>
      </c>
      <c r="H26" s="18"/>
      <c r="I26" s="17"/>
    </row>
    <row r="27" spans="1:9" ht="60" customHeight="1" x14ac:dyDescent="0.3">
      <c r="A27" s="13" t="s">
        <v>117</v>
      </c>
      <c r="B27" s="22" t="s">
        <v>113</v>
      </c>
      <c r="C27" s="15" t="s">
        <v>118</v>
      </c>
      <c r="D27" s="15" t="s">
        <v>119</v>
      </c>
      <c r="E27" s="15" t="s">
        <v>120</v>
      </c>
      <c r="F27" s="15" t="s">
        <v>154</v>
      </c>
      <c r="G27" s="16" t="s">
        <v>139</v>
      </c>
      <c r="H27" s="16"/>
      <c r="I27" s="15"/>
    </row>
    <row r="28" spans="1:9" ht="60" customHeight="1" x14ac:dyDescent="0.3">
      <c r="A28" s="13" t="s">
        <v>121</v>
      </c>
      <c r="B28" s="22" t="s">
        <v>113</v>
      </c>
      <c r="C28" s="17" t="s">
        <v>122</v>
      </c>
      <c r="D28" s="17" t="s">
        <v>123</v>
      </c>
      <c r="E28" s="17" t="s">
        <v>124</v>
      </c>
      <c r="F28" s="17" t="s">
        <v>124</v>
      </c>
      <c r="G28" s="16" t="s">
        <v>139</v>
      </c>
      <c r="H28" s="18"/>
      <c r="I28" s="17"/>
    </row>
    <row r="29" spans="1:9" ht="60" customHeight="1" x14ac:dyDescent="0.3">
      <c r="A29" s="13" t="s">
        <v>125</v>
      </c>
      <c r="B29" s="22" t="s">
        <v>113</v>
      </c>
      <c r="C29" s="15" t="s">
        <v>126</v>
      </c>
      <c r="D29" s="15" t="s">
        <v>127</v>
      </c>
      <c r="E29" s="15" t="s">
        <v>128</v>
      </c>
      <c r="F29" s="15" t="s">
        <v>128</v>
      </c>
      <c r="G29" s="16" t="s">
        <v>139</v>
      </c>
      <c r="H29" s="16"/>
      <c r="I29" s="15"/>
    </row>
    <row r="30" spans="1:9" ht="60" customHeight="1" x14ac:dyDescent="0.3">
      <c r="A30" s="13" t="s">
        <v>129</v>
      </c>
      <c r="B30" s="23" t="s">
        <v>130</v>
      </c>
      <c r="C30" s="17" t="s">
        <v>131</v>
      </c>
      <c r="D30" s="17" t="s">
        <v>132</v>
      </c>
      <c r="E30" s="17" t="s">
        <v>133</v>
      </c>
      <c r="F30" s="17" t="s">
        <v>133</v>
      </c>
      <c r="G30" s="16" t="s">
        <v>139</v>
      </c>
      <c r="H30" s="18"/>
      <c r="I30" s="17"/>
    </row>
    <row r="31" spans="1:9" ht="60" customHeight="1" x14ac:dyDescent="0.3">
      <c r="A31" s="13" t="s">
        <v>134</v>
      </c>
      <c r="B31" s="23" t="s">
        <v>130</v>
      </c>
      <c r="C31" s="15" t="s">
        <v>135</v>
      </c>
      <c r="D31" s="15" t="s">
        <v>136</v>
      </c>
      <c r="E31" s="15" t="s">
        <v>137</v>
      </c>
      <c r="F31" s="15" t="s">
        <v>137</v>
      </c>
      <c r="G31" s="16" t="s">
        <v>139</v>
      </c>
      <c r="H31" s="16"/>
      <c r="I31" s="15"/>
    </row>
  </sheetData>
  <mergeCells count="2">
    <mergeCell ref="A1:I1"/>
    <mergeCell ref="A2:I2"/>
  </mergeCells>
  <conditionalFormatting sqref="G5:G31">
    <cfRule type="cellIs" dxfId="3" priority="2" operator="equal">
      <formula>"Pasó"</formula>
    </cfRule>
    <cfRule type="cellIs" dxfId="2" priority="3" operator="equal">
      <formula>"Falló"</formula>
    </cfRule>
    <cfRule type="cellIs" dxfId="1" priority="4" operator="equal">
      <formula>"Bloqueado"</formula>
    </cfRule>
    <cfRule type="cellIs" dxfId="0" priority="5" operator="equal">
      <formula>"Sin ejecutar"</formula>
    </cfRule>
  </conditionalFormatting>
  <dataValidations count="1">
    <dataValidation type="list" allowBlank="1" sqref="G5:G31" xr:uid="{00000000-0002-0000-0100-000000000000}">
      <formula1>"Pasó,Falló,Bloqueado,Sin ejecutar"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91C0-64A4-4731-8A03-07143B4B512C}">
  <dimension ref="A1:K103"/>
  <sheetViews>
    <sheetView topLeftCell="A96" workbookViewId="0">
      <selection activeCell="A103" sqref="A103"/>
    </sheetView>
  </sheetViews>
  <sheetFormatPr baseColWidth="10" defaultRowHeight="14.4" x14ac:dyDescent="0.3"/>
  <sheetData>
    <row r="1" spans="1:6" x14ac:dyDescent="0.3">
      <c r="A1" s="13" t="s">
        <v>24</v>
      </c>
      <c r="F1" s="13" t="s">
        <v>29</v>
      </c>
    </row>
    <row r="21" spans="1:6" x14ac:dyDescent="0.3">
      <c r="A21" s="13" t="s">
        <v>33</v>
      </c>
      <c r="F21" s="13" t="s">
        <v>49</v>
      </c>
    </row>
    <row r="39" spans="1:11" x14ac:dyDescent="0.3">
      <c r="A39" s="13" t="s">
        <v>58</v>
      </c>
      <c r="K39" s="13" t="s">
        <v>66</v>
      </c>
    </row>
    <row r="58" spans="1:9" x14ac:dyDescent="0.3">
      <c r="A58" s="13" t="s">
        <v>71</v>
      </c>
      <c r="I58" s="13" t="s">
        <v>75</v>
      </c>
    </row>
    <row r="72" spans="1:11" x14ac:dyDescent="0.3">
      <c r="A72" s="13" t="s">
        <v>83</v>
      </c>
      <c r="K72" s="13" t="s">
        <v>87</v>
      </c>
    </row>
    <row r="83" spans="1:9" x14ac:dyDescent="0.3">
      <c r="A83" s="13" t="s">
        <v>92</v>
      </c>
    </row>
    <row r="93" spans="1:9" x14ac:dyDescent="0.3">
      <c r="A93" s="13" t="s">
        <v>96</v>
      </c>
      <c r="I93" s="13" t="s">
        <v>100</v>
      </c>
    </row>
    <row r="103" spans="1:1" x14ac:dyDescent="0.3">
      <c r="A103" s="13" t="s">
        <v>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Casos de prueba</vt:lpstr>
      <vt:lpstr>visuales de las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Geraldine Rios Lameda</cp:lastModifiedBy>
  <cp:revision>0</cp:revision>
  <dcterms:created xsi:type="dcterms:W3CDTF">2026-05-21T00:55:46Z</dcterms:created>
  <dcterms:modified xsi:type="dcterms:W3CDTF">2026-05-21T04:17:08Z</dcterms:modified>
  <dc:language>en-US</dc:language>
</cp:coreProperties>
</file>