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geral\Documents\Claude\Projects\Practicas\"/>
    </mc:Choice>
  </mc:AlternateContent>
  <xr:revisionPtr revIDLastSave="0" documentId="13_ncr:1_{8180C3C9-8CC9-4639-8EC5-E73456B2F308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Instrucciones" sheetId="1" r:id="rId1"/>
    <sheet name="Datos del Evaluador" sheetId="2" r:id="rId2"/>
    <sheet name="Casos de Uso" sheetId="3" r:id="rId3"/>
    <sheet name="Cuestionario SUS" sheetId="4" r:id="rId4"/>
    <sheet name="Resume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5" l="1"/>
  <c r="C11" i="5"/>
  <c r="C10" i="5"/>
  <c r="C7" i="5"/>
  <c r="C6" i="5"/>
  <c r="C5" i="5"/>
  <c r="C4" i="5"/>
  <c r="C15" i="4"/>
  <c r="C14" i="5" s="1"/>
  <c r="C9" i="5" l="1"/>
  <c r="C13" i="5"/>
  <c r="C8" i="5"/>
</calcChain>
</file>

<file path=xl/sharedStrings.xml><?xml version="1.0" encoding="utf-8"?>
<sst xmlns="http://schemas.openxmlformats.org/spreadsheetml/2006/main" count="325" uniqueCount="291">
  <si>
    <t>EVALUACIÓN DEL PROTOTIPO FUNCIONAL – TuPresupuesto</t>
  </si>
  <si>
    <t>Prueba de la aplicación web de alta fidelidad (versión navegable)</t>
  </si>
  <si>
    <t>OBJETIVO</t>
  </si>
  <si>
    <t>Validar el prototipo funcional de alta fidelidad de 'TuPresupuesto' mediante la ejecución de tareas reales por parte de usuarios. A diferencia de una revisión de maqueta estática, aquí el usuario interactúa con la aplicación: crea su cuenta, registra ingresos y gastos, define metas y presupuestos, y comprueba que cada función responde como se espera.</t>
  </si>
  <si>
    <t>QUÉ SE EVALÚA</t>
  </si>
  <si>
    <t>Funcionalidad (que la acción se ejecute y los datos se guarden), Usabilidad (que el usuario logre la tarea sin ayuda y sin confundirse) y Diseño visual (que la pantalla sea clara, ordenada y agradable).</t>
  </si>
  <si>
    <t>MÓDULOS CUBIERTOS</t>
  </si>
  <si>
    <t>Autenticación · Navegación y diseño general · Dashboard · Ingresos · Gastos · Metas de ahorro · Presupuesto · Uso en móvil.</t>
  </si>
  <si>
    <t>ANTES DE EMPEZAR</t>
  </si>
  <si>
    <t>•</t>
  </si>
  <si>
    <t>Ten a la mano la dirección (URL) del prototipo y, si es posible, pruébalo también desde el celular.</t>
  </si>
  <si>
    <t>Usa datos de prueba (puedes inventar montos y descripciones). No necesitas información real.</t>
  </si>
  <si>
    <t>Diligencia primero la hoja 'Datos del Evaluador'.</t>
  </si>
  <si>
    <t>CÓMO DILIGENCIAR CADA CASO</t>
  </si>
  <si>
    <t>1.</t>
  </si>
  <si>
    <t>Lee el objetivo y las precondiciones del caso de uso.</t>
  </si>
  <si>
    <t>2.</t>
  </si>
  <si>
    <t>Ejecuta los pasos en la aplicación, en el orden indicado.</t>
  </si>
  <si>
    <t>3.</t>
  </si>
  <si>
    <t>Compara lo que ocurrió con el 'Resultado esperado' y escríbelo en 'Resultado obtenido'.</t>
  </si>
  <si>
    <t>4.</t>
  </si>
  <si>
    <t>Marca '¿Cumple?' (Sí / Parcial / No) y califica Funcionalidad, Usabilidad y Diseño de 1 a 5.</t>
  </si>
  <si>
    <t>5.</t>
  </si>
  <si>
    <t>Anota cualquier error, confusión o sugerencia en 'Observaciones'.</t>
  </si>
  <si>
    <t>6.</t>
  </si>
  <si>
    <t>Al terminar, responde el 'Cuestionario SUS' y revisa la hoja 'Resumen'.</t>
  </si>
  <si>
    <t>ESCALA DE CALIFICACIÓN (1 a 5)</t>
  </si>
  <si>
    <t>5</t>
  </si>
  <si>
    <t>Excelente – Cumple totalmente, sin ninguna dificultad.</t>
  </si>
  <si>
    <t>4</t>
  </si>
  <si>
    <t>Bueno – Cumple con observaciones menores.</t>
  </si>
  <si>
    <t>3</t>
  </si>
  <si>
    <t>Aceptable – Funciona, pero requiere mejoras.</t>
  </si>
  <si>
    <t>2</t>
  </si>
  <si>
    <t>Deficiente – Presenta problemas importantes.</t>
  </si>
  <si>
    <t>1</t>
  </si>
  <si>
    <t>Muy deficiente – No cumple o resulta confuso.</t>
  </si>
  <si>
    <t>CRITERIO DE ¿CUMPLE?</t>
  </si>
  <si>
    <t>Sí</t>
  </si>
  <si>
    <t>El resultado obtenido coincide con el resultado esperado.</t>
  </si>
  <si>
    <t>Parcial</t>
  </si>
  <si>
    <t>El resultado se logra a medias o con dificultad / errores menores.</t>
  </si>
  <si>
    <t>No</t>
  </si>
  <si>
    <t>El resultado no se obtiene o la aplicación presenta un error.</t>
  </si>
  <si>
    <t>DATOS DEL EVALUADOR</t>
  </si>
  <si>
    <t>Nombre completo</t>
  </si>
  <si>
    <t>Edad</t>
  </si>
  <si>
    <t>Ocupación</t>
  </si>
  <si>
    <t>Nivel de uso de tecnología (Bajo / Medio / Alto)</t>
  </si>
  <si>
    <t>¿Has usado antes apps de finanzas personales?</t>
  </si>
  <si>
    <t>Dispositivo usado (PC / Tablet / Móvil)</t>
  </si>
  <si>
    <t>Navegador usado</t>
  </si>
  <si>
    <t>Fecha de la evaluación</t>
  </si>
  <si>
    <t>Tiempo aprox. dedicado a la prueba</t>
  </si>
  <si>
    <t>MATRIZ DE CASOS DE USO – PROTOTIPO FUNCIONAL · TuPresupuesto</t>
  </si>
  <si>
    <t>ID</t>
  </si>
  <si>
    <t>Módulo</t>
  </si>
  <si>
    <t>Caso de uso</t>
  </si>
  <si>
    <t>Objetivo</t>
  </si>
  <si>
    <t>Precondiciones</t>
  </si>
  <si>
    <t>Pasos a realizar</t>
  </si>
  <si>
    <t>Resultado esperado</t>
  </si>
  <si>
    <t>Resultado obtenido</t>
  </si>
  <si>
    <t>¿Cumple? (Sí/Parcial/No)</t>
  </si>
  <si>
    <t>Funcionalidad (1-5)</t>
  </si>
  <si>
    <t>Usabilidad (1-5)</t>
  </si>
  <si>
    <t>Diseño (1-5)</t>
  </si>
  <si>
    <t>Observaciones</t>
  </si>
  <si>
    <t>CU-01</t>
  </si>
  <si>
    <t>Autenticación</t>
  </si>
  <si>
    <t>Crear una cuenta nueva</t>
  </si>
  <si>
    <t>Comprobar que un usuario nuevo puede registrarse en la aplicación.</t>
  </si>
  <si>
    <t>Tener la URL del prototipo. No haber iniciado sesión.</t>
  </si>
  <si>
    <t>1. Abrir el prototipo (se muestra 'Iniciar sesión').
2. Hacer clic en 'Crear cuenta'.
3. Llenar: Nombre, Correo electrónico, Contraseña (mín. 6 caracteres) y Confirma la contraseña.
4. Hacer clic en 'Crear cuenta'.</t>
  </si>
  <si>
    <t>La cuenta se crea y la aplicación entra directamente al Dashboard mostrando el nombre del usuario.</t>
  </si>
  <si>
    <t>CU-02</t>
  </si>
  <si>
    <t>Validaciones del formulario de registro</t>
  </si>
  <si>
    <t>Verificar que el sistema avisa cuando los datos de registro son incorrectos.</t>
  </si>
  <si>
    <t>Estar en la pantalla 'Crear tu cuenta'.</t>
  </si>
  <si>
    <t>1. Intentar registrarse con campos vacíos.
2. Intentar registrarse con una contraseña de menos de 6 caracteres.
3. Escribir contraseñas que no coincidan en los dos campos.</t>
  </si>
  <si>
    <t>Aparecen mensajes claros: 'Completa todos los campos obligatorios.', 'La contraseña debe tener al menos 6 caracteres.' y 'Las contraseñas no coinciden.' No se crea la cuenta.</t>
  </si>
  <si>
    <t>CU-03</t>
  </si>
  <si>
    <t>Iniciar sesión con datos válidos</t>
  </si>
  <si>
    <t>Validar el ingreso de un usuario ya registrado.</t>
  </si>
  <si>
    <t>Tener una cuenta creada. Estar en la pantalla 'Iniciar sesión'.</t>
  </si>
  <si>
    <t>1. Escribir el correo y la contraseña registrados.
2. Hacer clic en 'Iniciar sesión'.</t>
  </si>
  <si>
    <t>La aplicación abre el Dashboard de TuPresupuesto.</t>
  </si>
  <si>
    <t>CU-04</t>
  </si>
  <si>
    <t>Iniciar sesión con datos inválidos o vacíos</t>
  </si>
  <si>
    <t>Comprobar el manejo de errores al iniciar sesión.</t>
  </si>
  <si>
    <t>Estar en la pantalla 'Iniciar sesión'.</t>
  </si>
  <si>
    <t>1. Dejar los campos vacíos y presionar 'Iniciar sesión'.
2. Escribir un correo o contraseña incorrectos y presionar 'Iniciar sesión'.</t>
  </si>
  <si>
    <t>Se muestra 'Por favor completa tu correo y contraseña.' al estar vacío, y un mensaje de error al usar datos incorrectos. No se permite el acceso.</t>
  </si>
  <si>
    <t>CU-05</t>
  </si>
  <si>
    <t>Protección de páginas privadas</t>
  </si>
  <si>
    <t>Verificar que no se puede entrar a la app sin haber iniciado sesión.</t>
  </si>
  <si>
    <t>No haber iniciado sesión.</t>
  </si>
  <si>
    <t>1. Sin sesión activa, intentar abrir directamente una página interna (ej. /dashboard o /metas en la barra de direcciones).</t>
  </si>
  <si>
    <t>La aplicación redirige automáticamente a la pantalla 'Iniciar sesión'.</t>
  </si>
  <si>
    <t>CU-06</t>
  </si>
  <si>
    <t>Cerrar sesión</t>
  </si>
  <si>
    <t>Comprobar que el usuario puede salir de la aplicación.</t>
  </si>
  <si>
    <t>Haber iniciado sesión.</t>
  </si>
  <si>
    <t>1. En el menú lateral, ubicar la tarjeta de usuario abajo.
2. Hacer clic en el botón 'Cerrar sesión'.</t>
  </si>
  <si>
    <t>La sesión termina y se regresa a la pantalla 'Iniciar sesión'.</t>
  </si>
  <si>
    <t>CU-07</t>
  </si>
  <si>
    <t>Navegación</t>
  </si>
  <si>
    <t>Navegar con el menú lateral</t>
  </si>
  <si>
    <t>Validar el desplazamiento entre los cinco módulos desde el menú lateral.</t>
  </si>
  <si>
    <t>Haber iniciado sesión (vista de escritorio).</t>
  </si>
  <si>
    <t>1. En el menú lateral hacer clic, uno por uno, en: Dashboard, Ingresos, Gastos, Metas de Ahorro y Presupuesto.</t>
  </si>
  <si>
    <t>Cada módulo se abre correctamente; la opción activa queda resaltada en el menú.</t>
  </si>
  <si>
    <t>CU-08</t>
  </si>
  <si>
    <t>Botón 'Volver al Dashboard'</t>
  </si>
  <si>
    <t>Comprobar el acceso rápido de regreso al panel principal.</t>
  </si>
  <si>
    <t>Estar en cualquier módulo distinto al Dashboard.</t>
  </si>
  <si>
    <t>1. Estando en Ingresos, Gastos, Metas o Presupuesto, ubicar el botón '← Volver al Dashboard' en la parte superior.
2. Hacer clic en él.</t>
  </si>
  <si>
    <t>La aplicación regresa al Dashboard. (En el Dashboard este botón no aparece.)</t>
  </si>
  <si>
    <t>CU-09</t>
  </si>
  <si>
    <t>Identificación del usuario en el menú</t>
  </si>
  <si>
    <t>Verificar que la app muestra de quién es la sesión activa.</t>
  </si>
  <si>
    <t>1. Observar la parte inferior del menú lateral: avatar con la inicial y el nombre del usuario.</t>
  </si>
  <si>
    <t>Se muestra correctamente la inicial y el nombre (o correo) del usuario que inició sesión.</t>
  </si>
  <si>
    <t>CU-10</t>
  </si>
  <si>
    <t>Dashboard</t>
  </si>
  <si>
    <t>Visualizar las tarjetas de resumen</t>
  </si>
  <si>
    <t>Comprobar que el Dashboard muestra el resumen de ingresos, gastos y balance del mes.</t>
  </si>
  <si>
    <t>Haber iniciado sesión y tener al menos un ingreso y un gasto registrados.</t>
  </si>
  <si>
    <t>1. Entrar al Dashboard.
2. Observar las tres tarjetas: 'Ingresos', 'Gastos' y 'Balance' con sus montos.</t>
  </si>
  <si>
    <t>Las tres tarjetas muestran montos en pesos (COP) coherentes con los movimientos registrados.</t>
  </si>
  <si>
    <t>CU-11</t>
  </si>
  <si>
    <t>Acceso rápido desde las tarjetas</t>
  </si>
  <si>
    <t>Verificar que las tarjetas resumen funcionan como accesos directos.</t>
  </si>
  <si>
    <t>Estar en el Dashboard.</t>
  </si>
  <si>
    <t>1. Hacer clic en la tarjeta 'Ingresos'.
2. Volver y hacer clic en 'Gastos'.
3. Volver y hacer clic en 'Balance'.</t>
  </si>
  <si>
    <t>Cada tarjeta lleva a su módulo: Ingresos, Gastos y Metas respectivamente.</t>
  </si>
  <si>
    <t>CU-12</t>
  </si>
  <si>
    <t>Gráfica Ingresos vs Gastos</t>
  </si>
  <si>
    <t>Comprobar la visualización de la gráfica comparativa de los últimos meses.</t>
  </si>
  <si>
    <t>Tener movimientos registrados en uno o más meses.</t>
  </si>
  <si>
    <t>1. En el Dashboard observar la gráfica 'Ingresos vs Gastos (últimos meses)'.
2. Pasar el cursor sobre las barras.</t>
  </si>
  <si>
    <t>Se muestran las barras de ingresos y gastos por mes; al pasar el cursor aparece el valor en pesos. Si no hay datos, se muestra un mensaje en lugar de la gráfica.</t>
  </si>
  <si>
    <t>CU-13</t>
  </si>
  <si>
    <t>Gastos por categoría y movimientos recientes</t>
  </si>
  <si>
    <t>Validar los bloques de desglose por categoría y de últimos movimientos.</t>
  </si>
  <si>
    <t>Tener varios gastos registrados con distintas categorías.</t>
  </si>
  <si>
    <t>1. Observar el bloque 'Gastos por categoría' (barras con porcentaje).
2. Observar el bloque 'Movimientos recientes' (últimos 5).</t>
  </si>
  <si>
    <t>Las barras por categoría muestran monto y porcentaje; los movimientos recientes muestran descripción, categoría, fecha y monto con signo (+ / -).</t>
  </si>
  <si>
    <t>CU-14</t>
  </si>
  <si>
    <t>Estados vacíos en una cuenta nueva</t>
  </si>
  <si>
    <t>Comprobar que el Dashboard se ve correcto cuando aún no hay información.</t>
  </si>
  <si>
    <t>Tener una cuenta recién creada, sin movimientos.</t>
  </si>
  <si>
    <t>1. Entrar al Dashboard con una cuenta sin datos.
2. Revisar gráfica, gastos por categoría y movimientos recientes.</t>
  </si>
  <si>
    <t>En lugar de quedar en blanco, cada bloque muestra un mensaje guía (ej. 'Aún no has registrado movimientos').</t>
  </si>
  <si>
    <t>CU-15</t>
  </si>
  <si>
    <t>Ingresos</t>
  </si>
  <si>
    <t>Registrar un ingreso</t>
  </si>
  <si>
    <t>Validar el registro de un ingreso con todos sus datos.</t>
  </si>
  <si>
    <t>Estar en el módulo 'Ingresos'.</t>
  </si>
  <si>
    <t>1. En el formulario llenar: Descripción, Categoría (Salario, Freelance, Negocio, Inversión u Otro), Monto (COP), Fecha y Nota (opcional).
2. Hacer clic en 'Agregar ingreso'.</t>
  </si>
  <si>
    <t>El ingreso aparece en el 'Historial', el total de la parte superior aumenta y el formulario se limpia.</t>
  </si>
  <si>
    <t>CU-16</t>
  </si>
  <si>
    <t>Validaciones del formulario de ingreso</t>
  </si>
  <si>
    <t>Comprobar los avisos ante datos incompletos o inválidos.</t>
  </si>
  <si>
    <t>1. Intentar guardar sin llenar descripción, categoría, monto o fecha.
2. Intentar guardar con un monto de 0 o negativo.</t>
  </si>
  <si>
    <t>Aparecen los mensajes 'Completa descripción, categoría, monto y fecha.' y 'El monto debe ser un número mayor a cero.' No se guarda el movimiento.</t>
  </si>
  <si>
    <t>CU-17</t>
  </si>
  <si>
    <t>Editar un ingreso</t>
  </si>
  <si>
    <t>Validar la modificación de un ingreso ya registrado.</t>
  </si>
  <si>
    <t>Tener al menos un ingreso en el historial.</t>
  </si>
  <si>
    <t>1. En el historial, hacer clic en 'Editar' de un ingreso.
2. El formulario se llena con sus datos; cambiar el monto o la descripción.
3. Hacer clic en 'Guardar cambios'.</t>
  </si>
  <si>
    <t>El ingreso se actualiza en el historial y el total se recalcula. El botón 'Cancelar' permite descartar la edición.</t>
  </si>
  <si>
    <t>CU-18</t>
  </si>
  <si>
    <t>Eliminar un ingreso</t>
  </si>
  <si>
    <t>Validar la eliminación de un ingreso.</t>
  </si>
  <si>
    <t>1. En el historial, hacer clic en el ícono de papelera (🗑) de un ingreso.
2. Confirmar en el mensaje '¿Eliminar este movimiento?'.</t>
  </si>
  <si>
    <t>El ingreso desaparece del historial, el contador disminuye y el total se actualiza.</t>
  </si>
  <si>
    <t>CU-19</t>
  </si>
  <si>
    <t>Gastos</t>
  </si>
  <si>
    <t>Registrar un gasto</t>
  </si>
  <si>
    <t>Validar el registro de un gasto con todos sus datos.</t>
  </si>
  <si>
    <t>Estar en el módulo 'Gastos'.</t>
  </si>
  <si>
    <t>1. Llenar: Descripción, Categoría (Vivienda, Alimentación, Transporte, Salud, etc.), Monto (COP), Fecha y Nota (opcional).
2. Hacer clic en 'Agregar gasto'.</t>
  </si>
  <si>
    <t>El gasto aparece en el 'Historial', el total superior aumenta y el formulario se limpia.</t>
  </si>
  <si>
    <t>CU-20</t>
  </si>
  <si>
    <t>Editar un gasto</t>
  </si>
  <si>
    <t>Validar la modificación de un gasto registrado.</t>
  </si>
  <si>
    <t>Tener al menos un gasto en el historial.</t>
  </si>
  <si>
    <t>1. Hacer clic en 'Editar' de un gasto.
2. Modificar uno de sus campos.
3. Hacer clic en 'Guardar cambios'.</t>
  </si>
  <si>
    <t>El gasto se actualiza correctamente en el historial y el total se recalcula.</t>
  </si>
  <si>
    <t>CU-21</t>
  </si>
  <si>
    <t>Eliminar un gasto</t>
  </si>
  <si>
    <t>Validar la eliminación de un gasto.</t>
  </si>
  <si>
    <t>1. Hacer clic en el ícono de papelera (🗑) de un gasto.
2. Confirmar la eliminación.</t>
  </si>
  <si>
    <t>El gasto desaparece del historial y el total se actualiza.</t>
  </si>
  <si>
    <t>CU-22</t>
  </si>
  <si>
    <t>Metas de ahorro</t>
  </si>
  <si>
    <t>Crear una meta de ahorro</t>
  </si>
  <si>
    <t>Validar la creación de una meta con monto objetivo.</t>
  </si>
  <si>
    <t>Estar en el módulo 'Metas de Ahorro'.</t>
  </si>
  <si>
    <t>1. Llenar: Nombre de la meta, Ícono, Monto objetivo (COP), 'Ya tienes ahorrado' y Fecha límite (opcional).
2. Hacer clic en 'Crear meta'.</t>
  </si>
  <si>
    <t>La meta aparece como una tarjeta con su ícono, nombre, montos y barra de progreso según lo ya ahorrado.</t>
  </si>
  <si>
    <t>CU-23</t>
  </si>
  <si>
    <t>Validaciones del formulario de meta</t>
  </si>
  <si>
    <t>Comprobar los avisos ante datos faltantes o inválidos.</t>
  </si>
  <si>
    <t>1. Intentar crear una meta sin nombre o sin monto objetivo.
2. Intentar crear una meta con monto objetivo de 0.</t>
  </si>
  <si>
    <t>Aparecen los mensajes 'Necesitas un nombre y un monto objetivo.' y 'El monto objetivo debe ser mayor a cero.' No se crea la meta.</t>
  </si>
  <si>
    <t>CU-24</t>
  </si>
  <si>
    <t>Aportar dinero a una meta</t>
  </si>
  <si>
    <t>Validar que el usuario puede sumar ahorro a una meta existente.</t>
  </si>
  <si>
    <t>Tener al menos una meta creada.</t>
  </si>
  <si>
    <t>1. En la tarjeta de una meta, hacer clic en '+ Aportar'.
2. Escribir el monto a aportar en el campo que aparece.
3. Hacer clic en 'Aportar'.</t>
  </si>
  <si>
    <t>El monto ahorrado de la meta aumenta, la barra de progreso y el porcentaje se actualizan.</t>
  </si>
  <si>
    <t>CU-25</t>
  </si>
  <si>
    <t>Editar una meta</t>
  </si>
  <si>
    <t>Validar la modificación de una meta existente.</t>
  </si>
  <si>
    <t>1. En la tarjeta de la meta, hacer clic en 'Editar'.
2. Cambiar algún dato (nombre, ícono, monto objetivo o fecha).
3. Hacer clic en 'Guardar cambios'.</t>
  </si>
  <si>
    <t>La meta se actualiza con los nuevos datos y la barra de progreso se recalcula.</t>
  </si>
  <si>
    <t>CU-26</t>
  </si>
  <si>
    <t>Eliminar una meta</t>
  </si>
  <si>
    <t>Validar la eliminación de una meta.</t>
  </si>
  <si>
    <t>1. En la tarjeta de la meta, hacer clic en el ícono de papelera (🗑).
2. Confirmar en el mensaje '¿Eliminar esta meta?'.</t>
  </si>
  <si>
    <t>La meta desaparece de la lista de metas.</t>
  </si>
  <si>
    <t>CU-27</t>
  </si>
  <si>
    <t>Presupuesto</t>
  </si>
  <si>
    <t>Definir límites de presupuesto por categoría</t>
  </si>
  <si>
    <t>Validar la asignación de un límite mensual de gasto por categoría.</t>
  </si>
  <si>
    <t>Estar en el módulo 'Presupuesto'.</t>
  </si>
  <si>
    <t>1. En la lista de categorías, escribir un 'Límite mensual (COP)' en una o varias categorías.
2. Hacer clic en 'Guardar presupuesto'.</t>
  </si>
  <si>
    <t>Aparece el mensaje '✅ Presupuesto guardado correctamente.' y el resumen de 'Límite total' se actualiza.</t>
  </si>
  <si>
    <t>CU-28</t>
  </si>
  <si>
    <t>Consultar el presupuesto de otro mes</t>
  </si>
  <si>
    <t>Comprobar el cambio de mes en el módulo de presupuesto.</t>
  </si>
  <si>
    <t>1. Cambiar el selector 'Mes' a un mes diferente.
2. Observar cómo se actualizan los límites y el gasto mostrado.</t>
  </si>
  <si>
    <t>La pantalla carga el presupuesto correspondiente al mes seleccionado.</t>
  </si>
  <si>
    <t>CU-29</t>
  </si>
  <si>
    <t>Alerta de categorías excedidas</t>
  </si>
  <si>
    <t>Verificar que el sistema avisa cuando el gasto supera el límite asignado.</t>
  </si>
  <si>
    <t>Tener un límite asignado a una categoría y gastos que lo superen.</t>
  </si>
  <si>
    <t>1. Asignar un límite bajo a una categoría que ya tenga gastos altos.
2. Observar la parte superior y la barra de esa categoría.</t>
  </si>
  <si>
    <t>Aparece una alerta '⚠️ Te excediste en N categoría(s)…' y la barra de la categoría excedida se muestra en rojo.</t>
  </si>
  <si>
    <t>CU-30</t>
  </si>
  <si>
    <t>Descartar cambios del presupuesto</t>
  </si>
  <si>
    <t>Comprobar que se pueden deshacer los cambios no guardados.</t>
  </si>
  <si>
    <t>Estar en el módulo 'Presupuesto' con cambios sin guardar.</t>
  </si>
  <si>
    <t>1. Modificar uno o varios límites sin guardar.
2. Hacer clic en 'Descartar cambios'.</t>
  </si>
  <si>
    <t>Los límites vuelven a los últimos valores guardados, descartando las modificaciones.</t>
  </si>
  <si>
    <t>CU-31</t>
  </si>
  <si>
    <t>General / Móvil</t>
  </si>
  <si>
    <t>Uso del prototipo en el celular</t>
  </si>
  <si>
    <t>Evaluar la adaptación de la aplicación a la pantalla de un dispositivo móvil.</t>
  </si>
  <si>
    <t>Abrir el prototipo desde un teléfono móvil, con sesión iniciada.</t>
  </si>
  <si>
    <t>1. Abrir el prototipo en el celular.
2. Usar la barra de navegación inferior (Dashboard, Ingresos, Gastos, Ahorro).
3. Registrar un ingreso y un gasto desde el móvil.</t>
  </si>
  <si>
    <t>La interfaz se adapta a la pantalla sin elementos cortados; la navegación inferior funciona y se pueden registrar movimientos. (Nota: 'Presupuesto' puede no aparecer en la barra inferior — anotarlo si así ocurre.)</t>
  </si>
  <si>
    <t>CU-32</t>
  </si>
  <si>
    <t>General</t>
  </si>
  <si>
    <t>Mensajes y retroalimentación al usuario</t>
  </si>
  <si>
    <t>Comprobar que la aplicación informa el resultado de cada acción.</t>
  </si>
  <si>
    <t>Estar usando la aplicación con sesión iniciada.</t>
  </si>
  <si>
    <t>1. Realizar acciones de éxito (guardar un movimiento, guardar presupuesto).
2. Provocar errores (formularios incompletos).
3. Observar los mensajes que aparecen.</t>
  </si>
  <si>
    <t>Tras cada acción aparece un mensaje claro de éxito (✅) o de error (⚠️) que el usuario entiende sin ayuda.</t>
  </si>
  <si>
    <t>CUESTIONARIO DE USABILIDAD (SUS – System Usability Scale)</t>
  </si>
  <si>
    <t>Marca cada afirmación de 1 (Totalmente en desacuerdo) a 5 (Totalmente de acuerdo), según tu experiencia usando el prototipo.</t>
  </si>
  <si>
    <t>#</t>
  </si>
  <si>
    <t>Afirmación</t>
  </si>
  <si>
    <t>Respuesta (1-5)</t>
  </si>
  <si>
    <t>Creo que me gustaría usar esta aplicación con frecuencia.</t>
  </si>
  <si>
    <t>Encontré la aplicación innecesariamente compleja.</t>
  </si>
  <si>
    <t>Pensé que la aplicación era fácil de usar.</t>
  </si>
  <si>
    <t>Creo que necesitaría apoyo de un técnico para poder usarla.</t>
  </si>
  <si>
    <t>Encontré que las funciones de la aplicación estaban bien integradas.</t>
  </si>
  <si>
    <t>Pensé que había demasiada inconsistencia en la aplicación.</t>
  </si>
  <si>
    <t>Imagino que la mayoría de las personas aprenderían a usarla muy rápido.</t>
  </si>
  <si>
    <t>Encontré la aplicación muy difícil de usar.</t>
  </si>
  <si>
    <t>Me sentí muy seguro/a al usar la aplicación.</t>
  </si>
  <si>
    <t>Necesitaría aprender muchas cosas antes de poder manejar esta aplicación.</t>
  </si>
  <si>
    <t>Puntaje SUS (0–100)</t>
  </si>
  <si>
    <t>Referencia: &lt;50 deficiente · 50-68 aceptable · 68-80 buena · &gt;80 excelente</t>
  </si>
  <si>
    <t>RESUMEN DE RESULTADOS – PROTOTIPO FUNCIONAL</t>
  </si>
  <si>
    <t>Total de casos de uso evaluados</t>
  </si>
  <si>
    <t>Casos cumplidos (Sí)</t>
  </si>
  <si>
    <t>Casos parcialmente cumplidos</t>
  </si>
  <si>
    <t>Casos no cumplidos</t>
  </si>
  <si>
    <t>Casos sin evaluar</t>
  </si>
  <si>
    <t>% de cumplimiento</t>
  </si>
  <si>
    <t>Promedio Funcionalidad (1-5)</t>
  </si>
  <si>
    <t>Promedio Usabilidad (1-5)</t>
  </si>
  <si>
    <t>Promedio Diseño visual (1-5)</t>
  </si>
  <si>
    <t>Calificación general promedio</t>
  </si>
  <si>
    <t>Puntaje SUS de usabilidad</t>
  </si>
  <si>
    <t>Conclusiones y comentarios generales del evaluador: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</si>
</sst>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2"/>
      <color rgb="FF14532D"/>
      <name val="Arial"/>
      <charset val="1"/>
    </font>
    <font>
      <b/>
      <sz val="11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4532D"/>
        <bgColor rgb="FF166534"/>
      </patternFill>
    </fill>
    <fill>
      <patternFill patternType="solid">
        <fgColor rgb="FF15803D"/>
        <bgColor rgb="FF166534"/>
      </patternFill>
    </fill>
    <fill>
      <patternFill patternType="solid">
        <fgColor rgb="FFDCFCE7"/>
        <bgColor rgb="FFCCFFFF"/>
      </patternFill>
    </fill>
    <fill>
      <patternFill patternType="solid">
        <fgColor rgb="FFFFF2CC"/>
        <bgColor rgb="FFFFEB9C"/>
      </patternFill>
    </fill>
    <fill>
      <patternFill patternType="solid">
        <fgColor rgb="FF166534"/>
        <bgColor rgb="FF14532D"/>
      </patternFill>
    </fill>
    <fill>
      <patternFill patternType="solid">
        <fgColor rgb="FFFFFFFF"/>
        <bgColor rgb="FFFFF2CC"/>
      </patternFill>
    </fill>
    <fill>
      <patternFill patternType="solid">
        <fgColor rgb="FFC6EFCE"/>
        <bgColor rgb="FFDCFCE7"/>
      </patternFill>
    </fill>
  </fills>
  <borders count="3">
    <border>
      <left/>
      <right/>
      <top/>
      <bottom/>
      <diagonal/>
    </border>
    <border>
      <left style="thin">
        <color rgb="FF9BA6B7"/>
      </left>
      <right style="thin">
        <color rgb="FF9BA6B7"/>
      </right>
      <top style="thin">
        <color rgb="FF9BA6B7"/>
      </top>
      <bottom style="thin">
        <color rgb="FF9BA6B7"/>
      </bottom>
      <diagonal/>
    </border>
    <border>
      <left style="thin">
        <color rgb="FF9BA6B7"/>
      </left>
      <right/>
      <top style="thin">
        <color rgb="FF9BA6B7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5" borderId="2" xfId="0" applyFill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2" fontId="3" fillId="8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166534"/>
      <rgbColor rgb="FFC0C0C0"/>
      <rgbColor rgb="FF808080"/>
      <rgbColor rgb="FF9999FF"/>
      <rgbColor rgb="FF993366"/>
      <rgbColor rgb="FFFFF2CC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BA6B7"/>
      <rgbColor rgb="FF003366"/>
      <rgbColor rgb="FF339966"/>
      <rgbColor rgb="FF003300"/>
      <rgbColor rgb="FF333300"/>
      <rgbColor rgb="FF993300"/>
      <rgbColor rgb="FF993366"/>
      <rgbColor rgb="FF333399"/>
      <rgbColor rgb="FF1453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0"/>
  <sheetViews>
    <sheetView showGridLines="0" zoomScaleNormal="100" workbookViewId="0"/>
  </sheetViews>
  <sheetFormatPr baseColWidth="10" defaultColWidth="8.6640625" defaultRowHeight="14.4" x14ac:dyDescent="0.3"/>
  <cols>
    <col min="1" max="1" width="11.77734375" bestFit="1" customWidth="1"/>
    <col min="2" max="2" width="112" customWidth="1"/>
  </cols>
  <sheetData>
    <row r="2" spans="1:2" ht="31.5" customHeight="1" x14ac:dyDescent="0.3">
      <c r="B2" s="6" t="s">
        <v>0</v>
      </c>
    </row>
    <row r="3" spans="1:2" ht="21.75" customHeight="1" x14ac:dyDescent="0.3">
      <c r="B3" s="7" t="s">
        <v>1</v>
      </c>
    </row>
    <row r="5" spans="1:2" ht="55.5" customHeight="1" x14ac:dyDescent="0.3">
      <c r="A5" s="8" t="s">
        <v>2</v>
      </c>
      <c r="B5" s="9" t="s">
        <v>3</v>
      </c>
    </row>
    <row r="6" spans="1:2" ht="42" customHeight="1" x14ac:dyDescent="0.3">
      <c r="A6" s="8" t="s">
        <v>4</v>
      </c>
      <c r="B6" s="9" t="s">
        <v>5</v>
      </c>
    </row>
    <row r="7" spans="1:2" ht="27.75" customHeight="1" x14ac:dyDescent="0.3">
      <c r="A7" s="8" t="s">
        <v>6</v>
      </c>
      <c r="B7" s="9" t="s">
        <v>7</v>
      </c>
    </row>
    <row r="8" spans="1:2" ht="21.75" customHeight="1" x14ac:dyDescent="0.3">
      <c r="B8" s="10" t="s">
        <v>8</v>
      </c>
    </row>
    <row r="9" spans="1:2" ht="27.75" customHeight="1" x14ac:dyDescent="0.3">
      <c r="A9" s="8" t="s">
        <v>9</v>
      </c>
      <c r="B9" s="9" t="s">
        <v>10</v>
      </c>
    </row>
    <row r="10" spans="1:2" ht="18" customHeight="1" x14ac:dyDescent="0.3">
      <c r="A10" s="8" t="s">
        <v>9</v>
      </c>
      <c r="B10" s="9" t="s">
        <v>11</v>
      </c>
    </row>
    <row r="11" spans="1:2" ht="18" customHeight="1" x14ac:dyDescent="0.3">
      <c r="A11" s="8" t="s">
        <v>9</v>
      </c>
      <c r="B11" s="9" t="s">
        <v>12</v>
      </c>
    </row>
    <row r="12" spans="1:2" ht="21.75" customHeight="1" x14ac:dyDescent="0.3">
      <c r="B12" s="10" t="s">
        <v>13</v>
      </c>
    </row>
    <row r="13" spans="1:2" ht="18" customHeight="1" x14ac:dyDescent="0.3">
      <c r="A13" s="8" t="s">
        <v>14</v>
      </c>
      <c r="B13" s="9" t="s">
        <v>15</v>
      </c>
    </row>
    <row r="14" spans="1:2" ht="18" customHeight="1" x14ac:dyDescent="0.3">
      <c r="A14" s="8" t="s">
        <v>16</v>
      </c>
      <c r="B14" s="9" t="s">
        <v>17</v>
      </c>
    </row>
    <row r="15" spans="1:2" ht="18" customHeight="1" x14ac:dyDescent="0.3">
      <c r="A15" s="8" t="s">
        <v>18</v>
      </c>
      <c r="B15" s="9" t="s">
        <v>19</v>
      </c>
    </row>
    <row r="16" spans="1:2" ht="18" customHeight="1" x14ac:dyDescent="0.3">
      <c r="A16" s="8" t="s">
        <v>20</v>
      </c>
      <c r="B16" s="9" t="s">
        <v>21</v>
      </c>
    </row>
    <row r="17" spans="1:2" ht="18" customHeight="1" x14ac:dyDescent="0.3">
      <c r="A17" s="8" t="s">
        <v>22</v>
      </c>
      <c r="B17" s="9" t="s">
        <v>23</v>
      </c>
    </row>
    <row r="18" spans="1:2" ht="18" customHeight="1" x14ac:dyDescent="0.3">
      <c r="A18" s="8" t="s">
        <v>24</v>
      </c>
      <c r="B18" s="9" t="s">
        <v>25</v>
      </c>
    </row>
    <row r="20" spans="1:2" ht="21.75" customHeight="1" x14ac:dyDescent="0.3">
      <c r="B20" s="10" t="s">
        <v>26</v>
      </c>
    </row>
    <row r="21" spans="1:2" ht="18" customHeight="1" x14ac:dyDescent="0.3">
      <c r="A21" s="8" t="s">
        <v>27</v>
      </c>
      <c r="B21" s="9" t="s">
        <v>28</v>
      </c>
    </row>
    <row r="22" spans="1:2" ht="18" customHeight="1" x14ac:dyDescent="0.3">
      <c r="A22" s="8" t="s">
        <v>29</v>
      </c>
      <c r="B22" s="9" t="s">
        <v>30</v>
      </c>
    </row>
    <row r="23" spans="1:2" ht="18" customHeight="1" x14ac:dyDescent="0.3">
      <c r="A23" s="8" t="s">
        <v>31</v>
      </c>
      <c r="B23" s="9" t="s">
        <v>32</v>
      </c>
    </row>
    <row r="24" spans="1:2" ht="18" customHeight="1" x14ac:dyDescent="0.3">
      <c r="A24" s="8" t="s">
        <v>33</v>
      </c>
      <c r="B24" s="9" t="s">
        <v>34</v>
      </c>
    </row>
    <row r="25" spans="1:2" ht="18" customHeight="1" x14ac:dyDescent="0.3">
      <c r="A25" s="8" t="s">
        <v>35</v>
      </c>
      <c r="B25" s="9" t="s">
        <v>36</v>
      </c>
    </row>
    <row r="27" spans="1:2" ht="21.75" customHeight="1" x14ac:dyDescent="0.3">
      <c r="B27" s="10" t="s">
        <v>37</v>
      </c>
    </row>
    <row r="28" spans="1:2" ht="18" customHeight="1" x14ac:dyDescent="0.3">
      <c r="A28" s="8" t="s">
        <v>38</v>
      </c>
      <c r="B28" s="9" t="s">
        <v>39</v>
      </c>
    </row>
    <row r="29" spans="1:2" ht="18" customHeight="1" x14ac:dyDescent="0.3">
      <c r="A29" s="8" t="s">
        <v>40</v>
      </c>
      <c r="B29" s="9" t="s">
        <v>41</v>
      </c>
    </row>
    <row r="30" spans="1:2" ht="18" customHeight="1" x14ac:dyDescent="0.3">
      <c r="A30" s="8" t="s">
        <v>42</v>
      </c>
      <c r="B30" s="9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2"/>
  <sheetViews>
    <sheetView showGridLines="0" zoomScaleNormal="100" workbookViewId="0"/>
  </sheetViews>
  <sheetFormatPr baseColWidth="10" defaultColWidth="8.6640625" defaultRowHeight="14.4" x14ac:dyDescent="0.3"/>
  <cols>
    <col min="1" max="1" width="4" customWidth="1"/>
    <col min="2" max="2" width="42" customWidth="1"/>
    <col min="3" max="3" width="50" customWidth="1"/>
  </cols>
  <sheetData>
    <row r="2" spans="2:3" ht="27.75" customHeight="1" x14ac:dyDescent="0.3">
      <c r="B2" s="5" t="s">
        <v>44</v>
      </c>
      <c r="C2" s="5"/>
    </row>
    <row r="4" spans="2:3" ht="24" customHeight="1" x14ac:dyDescent="0.3">
      <c r="B4" s="11" t="s">
        <v>45</v>
      </c>
      <c r="C4" s="12"/>
    </row>
    <row r="5" spans="2:3" ht="24" customHeight="1" x14ac:dyDescent="0.3">
      <c r="B5" s="11" t="s">
        <v>46</v>
      </c>
      <c r="C5" s="12"/>
    </row>
    <row r="6" spans="2:3" ht="24" customHeight="1" x14ac:dyDescent="0.3">
      <c r="B6" s="11" t="s">
        <v>47</v>
      </c>
      <c r="C6" s="12"/>
    </row>
    <row r="7" spans="2:3" ht="24" customHeight="1" x14ac:dyDescent="0.3">
      <c r="B7" s="11" t="s">
        <v>48</v>
      </c>
      <c r="C7" s="12"/>
    </row>
    <row r="8" spans="2:3" ht="24" customHeight="1" x14ac:dyDescent="0.3">
      <c r="B8" s="11" t="s">
        <v>49</v>
      </c>
      <c r="C8" s="12"/>
    </row>
    <row r="9" spans="2:3" ht="24" customHeight="1" x14ac:dyDescent="0.3">
      <c r="B9" s="11" t="s">
        <v>50</v>
      </c>
      <c r="C9" s="12"/>
    </row>
    <row r="10" spans="2:3" ht="24" customHeight="1" x14ac:dyDescent="0.3">
      <c r="B10" s="11" t="s">
        <v>51</v>
      </c>
      <c r="C10" s="12"/>
    </row>
    <row r="11" spans="2:3" ht="24" customHeight="1" x14ac:dyDescent="0.3">
      <c r="B11" s="11" t="s">
        <v>52</v>
      </c>
      <c r="C11" s="12"/>
    </row>
    <row r="12" spans="2:3" ht="24" customHeight="1" x14ac:dyDescent="0.3">
      <c r="B12" s="11" t="s">
        <v>53</v>
      </c>
      <c r="C12" s="12"/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showGridLines="0" tabSelected="1" zoomScaleNormal="100" workbookViewId="0">
      <pane xSplit="3" ySplit="2" topLeftCell="D7" activePane="bottomRight" state="frozen"/>
      <selection pane="topRight" activeCell="D1" sqref="D1"/>
      <selection pane="bottomLeft" activeCell="A3" sqref="A3"/>
      <selection pane="bottomRight" activeCell="D9" sqref="D9"/>
    </sheetView>
  </sheetViews>
  <sheetFormatPr baseColWidth="10" defaultColWidth="8.6640625" defaultRowHeight="14.4" x14ac:dyDescent="0.3"/>
  <cols>
    <col min="1" max="1" width="8" customWidth="1"/>
    <col min="2" max="2" width="16" customWidth="1"/>
    <col min="3" max="3" width="30" customWidth="1"/>
    <col min="4" max="4" width="32" customWidth="1"/>
    <col min="5" max="5" width="26" customWidth="1"/>
    <col min="6" max="6" width="54" customWidth="1"/>
    <col min="7" max="7" width="40" customWidth="1"/>
    <col min="8" max="8" width="28" customWidth="1"/>
    <col min="9" max="9" width="14" customWidth="1"/>
    <col min="10" max="11" width="13" customWidth="1"/>
    <col min="12" max="12" width="12" customWidth="1"/>
    <col min="13" max="13" width="32" customWidth="1"/>
  </cols>
  <sheetData>
    <row r="1" spans="1:13" ht="30" customHeight="1" x14ac:dyDescent="0.3">
      <c r="A1" s="5" t="s">
        <v>54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7.5" customHeight="1" x14ac:dyDescent="0.3">
      <c r="A2" s="13" t="s">
        <v>55</v>
      </c>
      <c r="B2" s="13" t="s">
        <v>56</v>
      </c>
      <c r="C2" s="13" t="s">
        <v>57</v>
      </c>
      <c r="D2" s="13" t="s">
        <v>58</v>
      </c>
      <c r="E2" s="13" t="s">
        <v>59</v>
      </c>
      <c r="F2" s="13" t="s">
        <v>60</v>
      </c>
      <c r="G2" s="13" t="s">
        <v>61</v>
      </c>
      <c r="H2" s="13" t="s">
        <v>62</v>
      </c>
      <c r="I2" s="13" t="s">
        <v>63</v>
      </c>
      <c r="J2" s="13" t="s">
        <v>64</v>
      </c>
      <c r="K2" s="13" t="s">
        <v>65</v>
      </c>
      <c r="L2" s="13" t="s">
        <v>66</v>
      </c>
      <c r="M2" s="13" t="s">
        <v>67</v>
      </c>
    </row>
    <row r="3" spans="1:13" ht="91.5" customHeight="1" x14ac:dyDescent="0.3">
      <c r="A3" s="14" t="s">
        <v>68</v>
      </c>
      <c r="B3" s="14" t="s">
        <v>69</v>
      </c>
      <c r="C3" s="15" t="s">
        <v>70</v>
      </c>
      <c r="D3" s="15" t="s">
        <v>71</v>
      </c>
      <c r="E3" s="15" t="s">
        <v>72</v>
      </c>
      <c r="F3" s="15" t="s">
        <v>73</v>
      </c>
      <c r="G3" s="15" t="s">
        <v>74</v>
      </c>
      <c r="H3" s="16"/>
      <c r="I3" s="16"/>
      <c r="J3" s="16"/>
      <c r="K3" s="16"/>
      <c r="L3" s="16"/>
      <c r="M3" s="16"/>
    </row>
    <row r="4" spans="1:13" ht="91.5" customHeight="1" x14ac:dyDescent="0.3">
      <c r="A4" s="17" t="s">
        <v>75</v>
      </c>
      <c r="B4" s="17" t="s">
        <v>69</v>
      </c>
      <c r="C4" s="18" t="s">
        <v>76</v>
      </c>
      <c r="D4" s="18" t="s">
        <v>77</v>
      </c>
      <c r="E4" s="18" t="s">
        <v>78</v>
      </c>
      <c r="F4" s="18" t="s">
        <v>79</v>
      </c>
      <c r="G4" s="18" t="s">
        <v>80</v>
      </c>
      <c r="H4" s="16"/>
      <c r="I4" s="16"/>
      <c r="J4" s="16"/>
      <c r="K4" s="16"/>
      <c r="L4" s="16"/>
      <c r="M4" s="16"/>
    </row>
    <row r="5" spans="1:13" ht="91.5" customHeight="1" x14ac:dyDescent="0.3">
      <c r="A5" s="14" t="s">
        <v>81</v>
      </c>
      <c r="B5" s="14" t="s">
        <v>69</v>
      </c>
      <c r="C5" s="15" t="s">
        <v>82</v>
      </c>
      <c r="D5" s="15" t="s">
        <v>83</v>
      </c>
      <c r="E5" s="15" t="s">
        <v>84</v>
      </c>
      <c r="F5" s="15" t="s">
        <v>85</v>
      </c>
      <c r="G5" s="15" t="s">
        <v>86</v>
      </c>
      <c r="H5" s="16"/>
      <c r="I5" s="16"/>
      <c r="J5" s="16"/>
      <c r="K5" s="16"/>
      <c r="L5" s="16"/>
      <c r="M5" s="16"/>
    </row>
    <row r="6" spans="1:13" ht="91.5" customHeight="1" x14ac:dyDescent="0.3">
      <c r="A6" s="17" t="s">
        <v>87</v>
      </c>
      <c r="B6" s="17" t="s">
        <v>69</v>
      </c>
      <c r="C6" s="18" t="s">
        <v>88</v>
      </c>
      <c r="D6" s="18" t="s">
        <v>89</v>
      </c>
      <c r="E6" s="18" t="s">
        <v>90</v>
      </c>
      <c r="F6" s="18" t="s">
        <v>91</v>
      </c>
      <c r="G6" s="18" t="s">
        <v>92</v>
      </c>
      <c r="H6" s="16"/>
      <c r="I6" s="16"/>
      <c r="J6" s="16"/>
      <c r="K6" s="16"/>
      <c r="L6" s="16"/>
      <c r="M6" s="16"/>
    </row>
    <row r="7" spans="1:13" ht="91.5" customHeight="1" x14ac:dyDescent="0.3">
      <c r="A7" s="14" t="s">
        <v>93</v>
      </c>
      <c r="B7" s="14" t="s">
        <v>69</v>
      </c>
      <c r="C7" s="15" t="s">
        <v>94</v>
      </c>
      <c r="D7" s="15" t="s">
        <v>95</v>
      </c>
      <c r="E7" s="15" t="s">
        <v>96</v>
      </c>
      <c r="F7" s="15" t="s">
        <v>97</v>
      </c>
      <c r="G7" s="15" t="s">
        <v>98</v>
      </c>
      <c r="H7" s="16"/>
      <c r="I7" s="16"/>
      <c r="J7" s="16"/>
      <c r="K7" s="16"/>
      <c r="L7" s="16"/>
      <c r="M7" s="16"/>
    </row>
    <row r="8" spans="1:13" ht="91.5" customHeight="1" x14ac:dyDescent="0.3">
      <c r="A8" s="17" t="s">
        <v>99</v>
      </c>
      <c r="B8" s="17" t="s">
        <v>69</v>
      </c>
      <c r="C8" s="18" t="s">
        <v>100</v>
      </c>
      <c r="D8" s="18" t="s">
        <v>101</v>
      </c>
      <c r="E8" s="18" t="s">
        <v>102</v>
      </c>
      <c r="F8" s="18" t="s">
        <v>103</v>
      </c>
      <c r="G8" s="18" t="s">
        <v>104</v>
      </c>
      <c r="H8" s="16"/>
      <c r="I8" s="16"/>
      <c r="J8" s="16"/>
      <c r="K8" s="16"/>
      <c r="L8" s="16"/>
      <c r="M8" s="16"/>
    </row>
    <row r="9" spans="1:13" ht="91.5" customHeight="1" x14ac:dyDescent="0.3">
      <c r="A9" s="14" t="s">
        <v>105</v>
      </c>
      <c r="B9" s="14" t="s">
        <v>106</v>
      </c>
      <c r="C9" s="15" t="s">
        <v>107</v>
      </c>
      <c r="D9" s="15" t="s">
        <v>108</v>
      </c>
      <c r="E9" s="15" t="s">
        <v>109</v>
      </c>
      <c r="F9" s="15" t="s">
        <v>110</v>
      </c>
      <c r="G9" s="15" t="s">
        <v>111</v>
      </c>
      <c r="H9" s="16"/>
      <c r="I9" s="16"/>
      <c r="J9" s="16"/>
      <c r="K9" s="16"/>
      <c r="L9" s="16"/>
      <c r="M9" s="16"/>
    </row>
    <row r="10" spans="1:13" ht="91.5" customHeight="1" x14ac:dyDescent="0.3">
      <c r="A10" s="17" t="s">
        <v>112</v>
      </c>
      <c r="B10" s="17" t="s">
        <v>106</v>
      </c>
      <c r="C10" s="18" t="s">
        <v>113</v>
      </c>
      <c r="D10" s="18" t="s">
        <v>114</v>
      </c>
      <c r="E10" s="18" t="s">
        <v>115</v>
      </c>
      <c r="F10" s="18" t="s">
        <v>116</v>
      </c>
      <c r="G10" s="18" t="s">
        <v>117</v>
      </c>
      <c r="H10" s="16"/>
      <c r="I10" s="16"/>
      <c r="J10" s="16"/>
      <c r="K10" s="16"/>
      <c r="L10" s="16"/>
      <c r="M10" s="16"/>
    </row>
    <row r="11" spans="1:13" ht="91.5" customHeight="1" x14ac:dyDescent="0.3">
      <c r="A11" s="14" t="s">
        <v>118</v>
      </c>
      <c r="B11" s="14" t="s">
        <v>106</v>
      </c>
      <c r="C11" s="15" t="s">
        <v>119</v>
      </c>
      <c r="D11" s="15" t="s">
        <v>120</v>
      </c>
      <c r="E11" s="15" t="s">
        <v>102</v>
      </c>
      <c r="F11" s="15" t="s">
        <v>121</v>
      </c>
      <c r="G11" s="15" t="s">
        <v>122</v>
      </c>
      <c r="H11" s="16"/>
      <c r="I11" s="16"/>
      <c r="J11" s="16"/>
      <c r="K11" s="16"/>
      <c r="L11" s="16"/>
      <c r="M11" s="16"/>
    </row>
    <row r="12" spans="1:13" ht="91.5" customHeight="1" x14ac:dyDescent="0.3">
      <c r="A12" s="17" t="s">
        <v>123</v>
      </c>
      <c r="B12" s="17" t="s">
        <v>124</v>
      </c>
      <c r="C12" s="18" t="s">
        <v>125</v>
      </c>
      <c r="D12" s="18" t="s">
        <v>126</v>
      </c>
      <c r="E12" s="18" t="s">
        <v>127</v>
      </c>
      <c r="F12" s="18" t="s">
        <v>128</v>
      </c>
      <c r="G12" s="18" t="s">
        <v>129</v>
      </c>
      <c r="H12" s="16"/>
      <c r="I12" s="16"/>
      <c r="J12" s="16"/>
      <c r="K12" s="16"/>
      <c r="L12" s="16"/>
      <c r="M12" s="16"/>
    </row>
    <row r="13" spans="1:13" ht="91.5" customHeight="1" x14ac:dyDescent="0.3">
      <c r="A13" s="14" t="s">
        <v>130</v>
      </c>
      <c r="B13" s="14" t="s">
        <v>124</v>
      </c>
      <c r="C13" s="15" t="s">
        <v>131</v>
      </c>
      <c r="D13" s="15" t="s">
        <v>132</v>
      </c>
      <c r="E13" s="15" t="s">
        <v>133</v>
      </c>
      <c r="F13" s="15" t="s">
        <v>134</v>
      </c>
      <c r="G13" s="15" t="s">
        <v>135</v>
      </c>
      <c r="H13" s="16"/>
      <c r="I13" s="16"/>
      <c r="J13" s="16"/>
      <c r="K13" s="16"/>
      <c r="L13" s="16"/>
      <c r="M13" s="16"/>
    </row>
    <row r="14" spans="1:13" ht="91.5" customHeight="1" x14ac:dyDescent="0.3">
      <c r="A14" s="17" t="s">
        <v>136</v>
      </c>
      <c r="B14" s="17" t="s">
        <v>124</v>
      </c>
      <c r="C14" s="18" t="s">
        <v>137</v>
      </c>
      <c r="D14" s="18" t="s">
        <v>138</v>
      </c>
      <c r="E14" s="18" t="s">
        <v>139</v>
      </c>
      <c r="F14" s="18" t="s">
        <v>140</v>
      </c>
      <c r="G14" s="18" t="s">
        <v>141</v>
      </c>
      <c r="H14" s="16"/>
      <c r="I14" s="16"/>
      <c r="J14" s="16"/>
      <c r="K14" s="16"/>
      <c r="L14" s="16"/>
      <c r="M14" s="16"/>
    </row>
    <row r="15" spans="1:13" ht="91.5" customHeight="1" x14ac:dyDescent="0.3">
      <c r="A15" s="14" t="s">
        <v>142</v>
      </c>
      <c r="B15" s="14" t="s">
        <v>124</v>
      </c>
      <c r="C15" s="15" t="s">
        <v>143</v>
      </c>
      <c r="D15" s="15" t="s">
        <v>144</v>
      </c>
      <c r="E15" s="15" t="s">
        <v>145</v>
      </c>
      <c r="F15" s="15" t="s">
        <v>146</v>
      </c>
      <c r="G15" s="15" t="s">
        <v>147</v>
      </c>
      <c r="H15" s="16"/>
      <c r="I15" s="16"/>
      <c r="J15" s="16"/>
      <c r="K15" s="16"/>
      <c r="L15" s="16"/>
      <c r="M15" s="16"/>
    </row>
    <row r="16" spans="1:13" ht="91.5" customHeight="1" x14ac:dyDescent="0.3">
      <c r="A16" s="17" t="s">
        <v>148</v>
      </c>
      <c r="B16" s="17" t="s">
        <v>124</v>
      </c>
      <c r="C16" s="18" t="s">
        <v>149</v>
      </c>
      <c r="D16" s="18" t="s">
        <v>150</v>
      </c>
      <c r="E16" s="18" t="s">
        <v>151</v>
      </c>
      <c r="F16" s="18" t="s">
        <v>152</v>
      </c>
      <c r="G16" s="18" t="s">
        <v>153</v>
      </c>
      <c r="H16" s="16"/>
      <c r="I16" s="16"/>
      <c r="J16" s="16"/>
      <c r="K16" s="16"/>
      <c r="L16" s="16"/>
      <c r="M16" s="16"/>
    </row>
    <row r="17" spans="1:13" ht="91.5" customHeight="1" x14ac:dyDescent="0.3">
      <c r="A17" s="14" t="s">
        <v>154</v>
      </c>
      <c r="B17" s="14" t="s">
        <v>155</v>
      </c>
      <c r="C17" s="15" t="s">
        <v>156</v>
      </c>
      <c r="D17" s="15" t="s">
        <v>157</v>
      </c>
      <c r="E17" s="15" t="s">
        <v>158</v>
      </c>
      <c r="F17" s="15" t="s">
        <v>159</v>
      </c>
      <c r="G17" s="15" t="s">
        <v>160</v>
      </c>
      <c r="H17" s="16"/>
      <c r="I17" s="16"/>
      <c r="J17" s="16"/>
      <c r="K17" s="16"/>
      <c r="L17" s="16"/>
      <c r="M17" s="16"/>
    </row>
    <row r="18" spans="1:13" ht="91.5" customHeight="1" x14ac:dyDescent="0.3">
      <c r="A18" s="17" t="s">
        <v>161</v>
      </c>
      <c r="B18" s="17" t="s">
        <v>155</v>
      </c>
      <c r="C18" s="18" t="s">
        <v>162</v>
      </c>
      <c r="D18" s="18" t="s">
        <v>163</v>
      </c>
      <c r="E18" s="18" t="s">
        <v>158</v>
      </c>
      <c r="F18" s="18" t="s">
        <v>164</v>
      </c>
      <c r="G18" s="18" t="s">
        <v>165</v>
      </c>
      <c r="H18" s="16"/>
      <c r="I18" s="16"/>
      <c r="J18" s="16"/>
      <c r="K18" s="16"/>
      <c r="L18" s="16"/>
      <c r="M18" s="16"/>
    </row>
    <row r="19" spans="1:13" ht="91.5" customHeight="1" x14ac:dyDescent="0.3">
      <c r="A19" s="14" t="s">
        <v>166</v>
      </c>
      <c r="B19" s="14" t="s">
        <v>155</v>
      </c>
      <c r="C19" s="15" t="s">
        <v>167</v>
      </c>
      <c r="D19" s="15" t="s">
        <v>168</v>
      </c>
      <c r="E19" s="15" t="s">
        <v>169</v>
      </c>
      <c r="F19" s="15" t="s">
        <v>170</v>
      </c>
      <c r="G19" s="15" t="s">
        <v>171</v>
      </c>
      <c r="H19" s="16"/>
      <c r="I19" s="16"/>
      <c r="J19" s="16"/>
      <c r="K19" s="16"/>
      <c r="L19" s="16"/>
      <c r="M19" s="16"/>
    </row>
    <row r="20" spans="1:13" ht="91.5" customHeight="1" x14ac:dyDescent="0.3">
      <c r="A20" s="17" t="s">
        <v>172</v>
      </c>
      <c r="B20" s="17" t="s">
        <v>155</v>
      </c>
      <c r="C20" s="18" t="s">
        <v>173</v>
      </c>
      <c r="D20" s="18" t="s">
        <v>174</v>
      </c>
      <c r="E20" s="18" t="s">
        <v>169</v>
      </c>
      <c r="F20" s="18" t="s">
        <v>175</v>
      </c>
      <c r="G20" s="18" t="s">
        <v>176</v>
      </c>
      <c r="H20" s="16"/>
      <c r="I20" s="16"/>
      <c r="J20" s="16"/>
      <c r="K20" s="16"/>
      <c r="L20" s="16"/>
      <c r="M20" s="16"/>
    </row>
    <row r="21" spans="1:13" ht="91.5" customHeight="1" x14ac:dyDescent="0.3">
      <c r="A21" s="14" t="s">
        <v>177</v>
      </c>
      <c r="B21" s="14" t="s">
        <v>178</v>
      </c>
      <c r="C21" s="15" t="s">
        <v>179</v>
      </c>
      <c r="D21" s="15" t="s">
        <v>180</v>
      </c>
      <c r="E21" s="15" t="s">
        <v>181</v>
      </c>
      <c r="F21" s="15" t="s">
        <v>182</v>
      </c>
      <c r="G21" s="15" t="s">
        <v>183</v>
      </c>
      <c r="H21" s="16"/>
      <c r="I21" s="16"/>
      <c r="J21" s="16"/>
      <c r="K21" s="16"/>
      <c r="L21" s="16"/>
      <c r="M21" s="16"/>
    </row>
    <row r="22" spans="1:13" ht="91.5" customHeight="1" x14ac:dyDescent="0.3">
      <c r="A22" s="17" t="s">
        <v>184</v>
      </c>
      <c r="B22" s="17" t="s">
        <v>178</v>
      </c>
      <c r="C22" s="18" t="s">
        <v>185</v>
      </c>
      <c r="D22" s="18" t="s">
        <v>186</v>
      </c>
      <c r="E22" s="18" t="s">
        <v>187</v>
      </c>
      <c r="F22" s="18" t="s">
        <v>188</v>
      </c>
      <c r="G22" s="18" t="s">
        <v>189</v>
      </c>
      <c r="H22" s="16"/>
      <c r="I22" s="16"/>
      <c r="J22" s="16"/>
      <c r="K22" s="16"/>
      <c r="L22" s="16"/>
      <c r="M22" s="16"/>
    </row>
    <row r="23" spans="1:13" ht="91.5" customHeight="1" x14ac:dyDescent="0.3">
      <c r="A23" s="14" t="s">
        <v>190</v>
      </c>
      <c r="B23" s="14" t="s">
        <v>178</v>
      </c>
      <c r="C23" s="15" t="s">
        <v>191</v>
      </c>
      <c r="D23" s="15" t="s">
        <v>192</v>
      </c>
      <c r="E23" s="15" t="s">
        <v>187</v>
      </c>
      <c r="F23" s="15" t="s">
        <v>193</v>
      </c>
      <c r="G23" s="15" t="s">
        <v>194</v>
      </c>
      <c r="H23" s="16"/>
      <c r="I23" s="16"/>
      <c r="J23" s="16"/>
      <c r="K23" s="16"/>
      <c r="L23" s="16"/>
      <c r="M23" s="16"/>
    </row>
    <row r="24" spans="1:13" ht="91.5" customHeight="1" x14ac:dyDescent="0.3">
      <c r="A24" s="17" t="s">
        <v>195</v>
      </c>
      <c r="B24" s="17" t="s">
        <v>196</v>
      </c>
      <c r="C24" s="18" t="s">
        <v>197</v>
      </c>
      <c r="D24" s="18" t="s">
        <v>198</v>
      </c>
      <c r="E24" s="18" t="s">
        <v>199</v>
      </c>
      <c r="F24" s="18" t="s">
        <v>200</v>
      </c>
      <c r="G24" s="18" t="s">
        <v>201</v>
      </c>
      <c r="H24" s="16"/>
      <c r="I24" s="16"/>
      <c r="J24" s="16"/>
      <c r="K24" s="16"/>
      <c r="L24" s="16"/>
      <c r="M24" s="16"/>
    </row>
    <row r="25" spans="1:13" ht="91.5" customHeight="1" x14ac:dyDescent="0.3">
      <c r="A25" s="14" t="s">
        <v>202</v>
      </c>
      <c r="B25" s="14" t="s">
        <v>196</v>
      </c>
      <c r="C25" s="15" t="s">
        <v>203</v>
      </c>
      <c r="D25" s="15" t="s">
        <v>204</v>
      </c>
      <c r="E25" s="15" t="s">
        <v>199</v>
      </c>
      <c r="F25" s="15" t="s">
        <v>205</v>
      </c>
      <c r="G25" s="15" t="s">
        <v>206</v>
      </c>
      <c r="H25" s="16"/>
      <c r="I25" s="16"/>
      <c r="J25" s="16"/>
      <c r="K25" s="16"/>
      <c r="L25" s="16"/>
      <c r="M25" s="16"/>
    </row>
    <row r="26" spans="1:13" ht="91.5" customHeight="1" x14ac:dyDescent="0.3">
      <c r="A26" s="17" t="s">
        <v>207</v>
      </c>
      <c r="B26" s="17" t="s">
        <v>196</v>
      </c>
      <c r="C26" s="18" t="s">
        <v>208</v>
      </c>
      <c r="D26" s="18" t="s">
        <v>209</v>
      </c>
      <c r="E26" s="18" t="s">
        <v>210</v>
      </c>
      <c r="F26" s="18" t="s">
        <v>211</v>
      </c>
      <c r="G26" s="18" t="s">
        <v>212</v>
      </c>
      <c r="H26" s="16"/>
      <c r="I26" s="16"/>
      <c r="J26" s="16"/>
      <c r="K26" s="16"/>
      <c r="L26" s="16"/>
      <c r="M26" s="16"/>
    </row>
    <row r="27" spans="1:13" ht="91.5" customHeight="1" x14ac:dyDescent="0.3">
      <c r="A27" s="14" t="s">
        <v>213</v>
      </c>
      <c r="B27" s="14" t="s">
        <v>196</v>
      </c>
      <c r="C27" s="15" t="s">
        <v>214</v>
      </c>
      <c r="D27" s="15" t="s">
        <v>215</v>
      </c>
      <c r="E27" s="15" t="s">
        <v>210</v>
      </c>
      <c r="F27" s="15" t="s">
        <v>216</v>
      </c>
      <c r="G27" s="15" t="s">
        <v>217</v>
      </c>
      <c r="H27" s="16"/>
      <c r="I27" s="16"/>
      <c r="J27" s="16"/>
      <c r="K27" s="16"/>
      <c r="L27" s="16"/>
      <c r="M27" s="16"/>
    </row>
    <row r="28" spans="1:13" ht="91.5" customHeight="1" x14ac:dyDescent="0.3">
      <c r="A28" s="17" t="s">
        <v>218</v>
      </c>
      <c r="B28" s="17" t="s">
        <v>196</v>
      </c>
      <c r="C28" s="18" t="s">
        <v>219</v>
      </c>
      <c r="D28" s="18" t="s">
        <v>220</v>
      </c>
      <c r="E28" s="18" t="s">
        <v>210</v>
      </c>
      <c r="F28" s="18" t="s">
        <v>221</v>
      </c>
      <c r="G28" s="18" t="s">
        <v>222</v>
      </c>
      <c r="H28" s="16"/>
      <c r="I28" s="16"/>
      <c r="J28" s="16"/>
      <c r="K28" s="16"/>
      <c r="L28" s="16"/>
      <c r="M28" s="16"/>
    </row>
    <row r="29" spans="1:13" ht="91.5" customHeight="1" x14ac:dyDescent="0.3">
      <c r="A29" s="14" t="s">
        <v>223</v>
      </c>
      <c r="B29" s="14" t="s">
        <v>224</v>
      </c>
      <c r="C29" s="15" t="s">
        <v>225</v>
      </c>
      <c r="D29" s="15" t="s">
        <v>226</v>
      </c>
      <c r="E29" s="15" t="s">
        <v>227</v>
      </c>
      <c r="F29" s="15" t="s">
        <v>228</v>
      </c>
      <c r="G29" s="15" t="s">
        <v>229</v>
      </c>
      <c r="H29" s="16"/>
      <c r="I29" s="16"/>
      <c r="J29" s="16"/>
      <c r="K29" s="16"/>
      <c r="L29" s="16"/>
      <c r="M29" s="16"/>
    </row>
    <row r="30" spans="1:13" ht="91.5" customHeight="1" x14ac:dyDescent="0.3">
      <c r="A30" s="17" t="s">
        <v>230</v>
      </c>
      <c r="B30" s="17" t="s">
        <v>224</v>
      </c>
      <c r="C30" s="18" t="s">
        <v>231</v>
      </c>
      <c r="D30" s="18" t="s">
        <v>232</v>
      </c>
      <c r="E30" s="18" t="s">
        <v>227</v>
      </c>
      <c r="F30" s="18" t="s">
        <v>233</v>
      </c>
      <c r="G30" s="18" t="s">
        <v>234</v>
      </c>
      <c r="H30" s="16"/>
      <c r="I30" s="16"/>
      <c r="J30" s="16"/>
      <c r="K30" s="16"/>
      <c r="L30" s="16"/>
      <c r="M30" s="16"/>
    </row>
    <row r="31" spans="1:13" ht="91.5" customHeight="1" x14ac:dyDescent="0.3">
      <c r="A31" s="14" t="s">
        <v>235</v>
      </c>
      <c r="B31" s="14" t="s">
        <v>224</v>
      </c>
      <c r="C31" s="15" t="s">
        <v>236</v>
      </c>
      <c r="D31" s="15" t="s">
        <v>237</v>
      </c>
      <c r="E31" s="15" t="s">
        <v>238</v>
      </c>
      <c r="F31" s="15" t="s">
        <v>239</v>
      </c>
      <c r="G31" s="15" t="s">
        <v>240</v>
      </c>
      <c r="H31" s="16"/>
      <c r="I31" s="16"/>
      <c r="J31" s="16"/>
      <c r="K31" s="16"/>
      <c r="L31" s="16"/>
      <c r="M31" s="16"/>
    </row>
    <row r="32" spans="1:13" ht="91.5" customHeight="1" x14ac:dyDescent="0.3">
      <c r="A32" s="17" t="s">
        <v>241</v>
      </c>
      <c r="B32" s="17" t="s">
        <v>224</v>
      </c>
      <c r="C32" s="18" t="s">
        <v>242</v>
      </c>
      <c r="D32" s="18" t="s">
        <v>243</v>
      </c>
      <c r="E32" s="18" t="s">
        <v>244</v>
      </c>
      <c r="F32" s="18" t="s">
        <v>245</v>
      </c>
      <c r="G32" s="18" t="s">
        <v>246</v>
      </c>
      <c r="H32" s="16"/>
      <c r="I32" s="16"/>
      <c r="J32" s="16"/>
      <c r="K32" s="16"/>
      <c r="L32" s="16"/>
      <c r="M32" s="16"/>
    </row>
    <row r="33" spans="1:13" ht="91.5" customHeight="1" x14ac:dyDescent="0.3">
      <c r="A33" s="14" t="s">
        <v>247</v>
      </c>
      <c r="B33" s="14" t="s">
        <v>248</v>
      </c>
      <c r="C33" s="15" t="s">
        <v>249</v>
      </c>
      <c r="D33" s="15" t="s">
        <v>250</v>
      </c>
      <c r="E33" s="15" t="s">
        <v>251</v>
      </c>
      <c r="F33" s="15" t="s">
        <v>252</v>
      </c>
      <c r="G33" s="15" t="s">
        <v>253</v>
      </c>
      <c r="H33" s="16"/>
      <c r="I33" s="16"/>
      <c r="J33" s="16"/>
      <c r="K33" s="16"/>
      <c r="L33" s="16"/>
      <c r="M33" s="16"/>
    </row>
    <row r="34" spans="1:13" ht="91.5" customHeight="1" x14ac:dyDescent="0.3">
      <c r="A34" s="17" t="s">
        <v>254</v>
      </c>
      <c r="B34" s="17" t="s">
        <v>255</v>
      </c>
      <c r="C34" s="18" t="s">
        <v>256</v>
      </c>
      <c r="D34" s="18" t="s">
        <v>257</v>
      </c>
      <c r="E34" s="18" t="s">
        <v>258</v>
      </c>
      <c r="F34" s="18" t="s">
        <v>259</v>
      </c>
      <c r="G34" s="18" t="s">
        <v>260</v>
      </c>
      <c r="H34" s="16"/>
      <c r="I34" s="16"/>
      <c r="J34" s="16"/>
      <c r="K34" s="16"/>
      <c r="L34" s="16"/>
      <c r="M34" s="16"/>
    </row>
  </sheetData>
  <mergeCells count="1">
    <mergeCell ref="A1:M1"/>
  </mergeCells>
  <conditionalFormatting sqref="I3:I34">
    <cfRule type="cellIs" dxfId="2" priority="2" operator="equal">
      <formula>"Sí"</formula>
    </cfRule>
    <cfRule type="cellIs" dxfId="1" priority="3" operator="equal">
      <formula>"No"</formula>
    </cfRule>
    <cfRule type="cellIs" dxfId="0" priority="4" operator="equal">
      <formula>"Parcial"</formula>
    </cfRule>
  </conditionalFormatting>
  <dataValidations count="2">
    <dataValidation type="list" allowBlank="1" errorTitle="Valor inválido" error="Seleccione: Sí, Parcial o No" sqref="I3:I34" xr:uid="{00000000-0002-0000-0200-000000000000}">
      <formula1>"Sí,Parcial,No"</formula1>
      <formula2>0</formula2>
    </dataValidation>
    <dataValidation type="list" allowBlank="1" errorTitle="Valor inválido" error="Use una escala de 1 a 5" sqref="J3:L34" xr:uid="{00000000-0002-0000-0200-000001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zoomScaleNormal="100" workbookViewId="0"/>
  </sheetViews>
  <sheetFormatPr baseColWidth="10" defaultColWidth="8.6640625" defaultRowHeight="14.4" x14ac:dyDescent="0.3"/>
  <cols>
    <col min="1" max="1" width="6" customWidth="1"/>
    <col min="2" max="2" width="82" customWidth="1"/>
    <col min="3" max="3" width="16" customWidth="1"/>
    <col min="4" max="4" width="42" customWidth="1"/>
  </cols>
  <sheetData>
    <row r="1" spans="1:4" ht="30" customHeight="1" x14ac:dyDescent="0.3">
      <c r="A1" s="4" t="s">
        <v>261</v>
      </c>
      <c r="B1" s="4"/>
      <c r="C1" s="4"/>
      <c r="D1" s="4"/>
    </row>
    <row r="2" spans="1:4" ht="25.5" customHeight="1" x14ac:dyDescent="0.3">
      <c r="A2" s="3" t="s">
        <v>262</v>
      </c>
      <c r="B2" s="3"/>
      <c r="C2" s="3"/>
      <c r="D2" s="3"/>
    </row>
    <row r="3" spans="1:4" ht="24" customHeight="1" x14ac:dyDescent="0.3">
      <c r="A3" s="13" t="s">
        <v>263</v>
      </c>
      <c r="B3" s="13" t="s">
        <v>264</v>
      </c>
      <c r="C3" s="13" t="s">
        <v>265</v>
      </c>
      <c r="D3" s="13" t="s">
        <v>67</v>
      </c>
    </row>
    <row r="4" spans="1:4" ht="30" customHeight="1" x14ac:dyDescent="0.3">
      <c r="A4" s="19">
        <v>1</v>
      </c>
      <c r="B4" s="15" t="s">
        <v>266</v>
      </c>
      <c r="C4" s="16"/>
      <c r="D4" s="12"/>
    </row>
    <row r="5" spans="1:4" ht="30" customHeight="1" x14ac:dyDescent="0.3">
      <c r="A5" s="20">
        <v>2</v>
      </c>
      <c r="B5" s="18" t="s">
        <v>267</v>
      </c>
      <c r="C5" s="16"/>
      <c r="D5" s="12"/>
    </row>
    <row r="6" spans="1:4" ht="30" customHeight="1" x14ac:dyDescent="0.3">
      <c r="A6" s="19">
        <v>3</v>
      </c>
      <c r="B6" s="15" t="s">
        <v>268</v>
      </c>
      <c r="C6" s="16"/>
      <c r="D6" s="12"/>
    </row>
    <row r="7" spans="1:4" ht="30" customHeight="1" x14ac:dyDescent="0.3">
      <c r="A7" s="20">
        <v>4</v>
      </c>
      <c r="B7" s="18" t="s">
        <v>269</v>
      </c>
      <c r="C7" s="16"/>
      <c r="D7" s="12"/>
    </row>
    <row r="8" spans="1:4" ht="30" customHeight="1" x14ac:dyDescent="0.3">
      <c r="A8" s="19">
        <v>5</v>
      </c>
      <c r="B8" s="15" t="s">
        <v>270</v>
      </c>
      <c r="C8" s="16"/>
      <c r="D8" s="12"/>
    </row>
    <row r="9" spans="1:4" ht="30" customHeight="1" x14ac:dyDescent="0.3">
      <c r="A9" s="20">
        <v>6</v>
      </c>
      <c r="B9" s="18" t="s">
        <v>271</v>
      </c>
      <c r="C9" s="16"/>
      <c r="D9" s="12"/>
    </row>
    <row r="10" spans="1:4" ht="30" customHeight="1" x14ac:dyDescent="0.3">
      <c r="A10" s="19">
        <v>7</v>
      </c>
      <c r="B10" s="15" t="s">
        <v>272</v>
      </c>
      <c r="C10" s="16"/>
      <c r="D10" s="12"/>
    </row>
    <row r="11" spans="1:4" ht="30" customHeight="1" x14ac:dyDescent="0.3">
      <c r="A11" s="20">
        <v>8</v>
      </c>
      <c r="B11" s="18" t="s">
        <v>273</v>
      </c>
      <c r="C11" s="16"/>
      <c r="D11" s="12"/>
    </row>
    <row r="12" spans="1:4" ht="30" customHeight="1" x14ac:dyDescent="0.3">
      <c r="A12" s="19">
        <v>9</v>
      </c>
      <c r="B12" s="15" t="s">
        <v>274</v>
      </c>
      <c r="C12" s="16"/>
      <c r="D12" s="12"/>
    </row>
    <row r="13" spans="1:4" ht="30" customHeight="1" x14ac:dyDescent="0.3">
      <c r="A13" s="20">
        <v>10</v>
      </c>
      <c r="B13" s="18" t="s">
        <v>275</v>
      </c>
      <c r="C13" s="16"/>
      <c r="D13" s="12"/>
    </row>
    <row r="15" spans="1:4" ht="26.4" x14ac:dyDescent="0.3">
      <c r="B15" s="21" t="s">
        <v>276</v>
      </c>
      <c r="C15" s="22">
        <f>IFERROR((((C4+C6+C8+C10+C12)-5)+(25-(C5+C7+C9+C11+C13)))*2.5,"")</f>
        <v>50</v>
      </c>
      <c r="D15" s="9" t="s">
        <v>277</v>
      </c>
    </row>
  </sheetData>
  <mergeCells count="2">
    <mergeCell ref="A1:D1"/>
    <mergeCell ref="A2:D2"/>
  </mergeCells>
  <dataValidations count="1">
    <dataValidation type="list" allowBlank="1" sqref="C4:C13" xr:uid="{00000000-0002-0000-0300-000000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23"/>
  <sheetViews>
    <sheetView showGridLines="0" zoomScaleNormal="100" workbookViewId="0"/>
  </sheetViews>
  <sheetFormatPr baseColWidth="10" defaultColWidth="8.6640625" defaultRowHeight="14.4" x14ac:dyDescent="0.3"/>
  <cols>
    <col min="1" max="1" width="4" customWidth="1"/>
    <col min="2" max="2" width="46" customWidth="1"/>
    <col min="3" max="3" width="20" customWidth="1"/>
    <col min="4" max="4" width="38" customWidth="1"/>
  </cols>
  <sheetData>
    <row r="2" spans="2:4" ht="30" customHeight="1" x14ac:dyDescent="0.3">
      <c r="B2" s="4" t="s">
        <v>278</v>
      </c>
      <c r="C2" s="4"/>
      <c r="D2" s="4"/>
    </row>
    <row r="4" spans="2:4" ht="24" customHeight="1" x14ac:dyDescent="0.3">
      <c r="B4" s="11" t="s">
        <v>279</v>
      </c>
      <c r="C4" s="22">
        <f>COUNTA('Casos de Uso'!A3:A34)</f>
        <v>32</v>
      </c>
    </row>
    <row r="5" spans="2:4" ht="24" customHeight="1" x14ac:dyDescent="0.3">
      <c r="B5" s="11" t="s">
        <v>280</v>
      </c>
      <c r="C5" s="22">
        <f>COUNTIF('Casos de Uso'!I3:I34,"Sí")</f>
        <v>0</v>
      </c>
    </row>
    <row r="6" spans="2:4" ht="24" customHeight="1" x14ac:dyDescent="0.3">
      <c r="B6" s="11" t="s">
        <v>281</v>
      </c>
      <c r="C6" s="22">
        <f>COUNTIF('Casos de Uso'!I3:I34,"Parcial")</f>
        <v>0</v>
      </c>
    </row>
    <row r="7" spans="2:4" ht="24" customHeight="1" x14ac:dyDescent="0.3">
      <c r="B7" s="11" t="s">
        <v>282</v>
      </c>
      <c r="C7" s="22">
        <f>COUNTIF('Casos de Uso'!I3:I34,"No")</f>
        <v>0</v>
      </c>
    </row>
    <row r="8" spans="2:4" ht="24" customHeight="1" x14ac:dyDescent="0.3">
      <c r="B8" s="11" t="s">
        <v>283</v>
      </c>
      <c r="C8" s="22">
        <f>C4-(C5+C6+C7)</f>
        <v>32</v>
      </c>
    </row>
    <row r="9" spans="2:4" ht="24" customHeight="1" x14ac:dyDescent="0.3">
      <c r="B9" s="11" t="s">
        <v>284</v>
      </c>
      <c r="C9" s="23">
        <f>IFERROR((C5+C6*0.5)/C4,"")</f>
        <v>0</v>
      </c>
    </row>
    <row r="10" spans="2:4" ht="24" customHeight="1" x14ac:dyDescent="0.3">
      <c r="B10" s="11" t="s">
        <v>285</v>
      </c>
      <c r="C10" s="24" t="str">
        <f>IFERROR(AVERAGE('Casos de Uso'!J3:J34),"")</f>
        <v/>
      </c>
    </row>
    <row r="11" spans="2:4" ht="24" customHeight="1" x14ac:dyDescent="0.3">
      <c r="B11" s="11" t="s">
        <v>286</v>
      </c>
      <c r="C11" s="24" t="str">
        <f>IFERROR(AVERAGE('Casos de Uso'!K3:K34),"")</f>
        <v/>
      </c>
    </row>
    <row r="12" spans="2:4" ht="24" customHeight="1" x14ac:dyDescent="0.3">
      <c r="B12" s="11" t="s">
        <v>287</v>
      </c>
      <c r="C12" s="24" t="str">
        <f>IFERROR(AVERAGE('Casos de Uso'!L3:L34),"")</f>
        <v/>
      </c>
    </row>
    <row r="13" spans="2:4" ht="24" customHeight="1" x14ac:dyDescent="0.3">
      <c r="B13" s="11" t="s">
        <v>288</v>
      </c>
      <c r="C13" s="24" t="str">
        <f>IFERROR(AVERAGE(C10:C12),"")</f>
        <v/>
      </c>
    </row>
    <row r="14" spans="2:4" ht="24" customHeight="1" x14ac:dyDescent="0.3">
      <c r="B14" s="11" t="s">
        <v>289</v>
      </c>
      <c r="C14" s="24">
        <f>'Cuestionario SUS'!C15</f>
        <v>50</v>
      </c>
    </row>
    <row r="16" spans="2:4" ht="21.75" customHeight="1" x14ac:dyDescent="0.3">
      <c r="B16" s="2" t="s">
        <v>290</v>
      </c>
      <c r="C16" s="2"/>
      <c r="D16" s="2"/>
    </row>
    <row r="17" spans="2:4" ht="21.75" customHeight="1" x14ac:dyDescent="0.3">
      <c r="B17" s="1"/>
      <c r="C17" s="1"/>
      <c r="D17" s="1"/>
    </row>
    <row r="18" spans="2:4" ht="21.75" customHeight="1" x14ac:dyDescent="0.3">
      <c r="B18" s="1"/>
      <c r="C18" s="1"/>
      <c r="D18" s="1"/>
    </row>
    <row r="19" spans="2:4" ht="21.75" customHeight="1" x14ac:dyDescent="0.3">
      <c r="B19" s="1"/>
      <c r="C19" s="1"/>
      <c r="D19" s="1"/>
    </row>
    <row r="20" spans="2:4" ht="21.75" customHeight="1" x14ac:dyDescent="0.3">
      <c r="B20" s="1"/>
      <c r="C20" s="1"/>
      <c r="D20" s="1"/>
    </row>
    <row r="21" spans="2:4" ht="21.75" customHeight="1" x14ac:dyDescent="0.3">
      <c r="B21" s="1"/>
      <c r="C21" s="1"/>
      <c r="D21" s="1"/>
    </row>
    <row r="22" spans="2:4" ht="21.75" customHeight="1" x14ac:dyDescent="0.3">
      <c r="B22" s="1"/>
      <c r="C22" s="1"/>
      <c r="D22" s="1"/>
    </row>
    <row r="23" spans="2:4" ht="21.75" customHeight="1" x14ac:dyDescent="0.3">
      <c r="B23" s="1"/>
      <c r="C23" s="1"/>
      <c r="D23" s="1"/>
    </row>
  </sheetData>
  <mergeCells count="3">
    <mergeCell ref="B2:D2"/>
    <mergeCell ref="B16:D16"/>
    <mergeCell ref="B17:D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Datos del Evaluador</vt:lpstr>
      <vt:lpstr>Casos de Uso</vt:lpstr>
      <vt:lpstr>Cuestionario SUS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Geraldine Rios Lameda</cp:lastModifiedBy>
  <cp:revision>0</cp:revision>
  <dcterms:created xsi:type="dcterms:W3CDTF">2026-05-14T22:12:32Z</dcterms:created>
  <dcterms:modified xsi:type="dcterms:W3CDTF">2026-05-15T01:08:53Z</dcterms:modified>
  <dc:language>en-US</dc:language>
</cp:coreProperties>
</file>