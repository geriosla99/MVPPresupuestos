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geral\Documents\Claude\Projects\Practicas\"/>
    </mc:Choice>
  </mc:AlternateContent>
  <xr:revisionPtr revIDLastSave="0" documentId="13_ncr:1_{86150CE1-F71B-4564-B0AF-74D44EB5A7B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ronograma" sheetId="1" r:id="rId1"/>
    <sheet name="Avance por Fas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2" l="1"/>
  <c r="B8" i="2" s="1"/>
  <c r="C7" i="2"/>
  <c r="B7" i="2" s="1"/>
  <c r="C6" i="2"/>
  <c r="B6" i="2" s="1"/>
  <c r="C5" i="2"/>
  <c r="B5" i="2" s="1"/>
  <c r="C4" i="2"/>
  <c r="B4" i="2" s="1"/>
  <c r="C3" i="2"/>
  <c r="B3" i="2" s="1"/>
  <c r="G34" i="1"/>
  <c r="F7" i="1"/>
  <c r="F6" i="1"/>
</calcChain>
</file>

<file path=xl/sharedStrings.xml><?xml version="1.0" encoding="utf-8"?>
<sst xmlns="http://schemas.openxmlformats.org/spreadsheetml/2006/main" count="197" uniqueCount="152">
  <si>
    <t>📊  TuPresupuesto — Cronograma de Actividades Actualizado</t>
  </si>
  <si>
    <t>Práctica Profesional · Geraldine Rios · Ingeniería de Software · Iberoamericana 2026</t>
  </si>
  <si>
    <t>📋  RESUMEN EJECUTIVO DEL PROYECTO</t>
  </si>
  <si>
    <t>Inicio del proyecto:</t>
  </si>
  <si>
    <t>23 de febrero de 2026</t>
  </si>
  <si>
    <t>Estado general:</t>
  </si>
  <si>
    <t>🔄 En Desarrollo</t>
  </si>
  <si>
    <t>Finalización estimada:</t>
  </si>
  <si>
    <t>16 de junio de 2026</t>
  </si>
  <si>
    <t>Avance global:</t>
  </si>
  <si>
    <t>Duración total:</t>
  </si>
  <si>
    <t>16 semanas</t>
  </si>
  <si>
    <t>Fases completadas:</t>
  </si>
  <si>
    <t>Metodología:</t>
  </si>
  <si>
    <t>Cascada por fases</t>
  </si>
  <si>
    <t>Repositorio GitHub:</t>
  </si>
  <si>
    <t>MVPPresupuestos</t>
  </si>
  <si>
    <t>Fase</t>
  </si>
  <si>
    <t>Actividad / Entregable</t>
  </si>
  <si>
    <t>Fecha Inicio</t>
  </si>
  <si>
    <t>Fecha Fin</t>
  </si>
  <si>
    <t>Dur. (días)</t>
  </si>
  <si>
    <t>Estado</t>
  </si>
  <si>
    <t>% Completado</t>
  </si>
  <si>
    <t>Responsable</t>
  </si>
  <si>
    <t>Entregable</t>
  </si>
  <si>
    <t>Observaciones</t>
  </si>
  <si>
    <t>F1 – Análisis
y Planificación</t>
  </si>
  <si>
    <t>Levantamiento de requerimientos funcionales y no funcionales</t>
  </si>
  <si>
    <t>01/03/2026</t>
  </si>
  <si>
    <t>05/03/2026</t>
  </si>
  <si>
    <t>✅ Completado</t>
  </si>
  <si>
    <t>Geraldine Rios</t>
  </si>
  <si>
    <t>Documento de Requerimientos</t>
  </si>
  <si>
    <t>Aprobado por docente</t>
  </si>
  <si>
    <t>Definición del alcance y público objetivo</t>
  </si>
  <si>
    <t>06/03/2026</t>
  </si>
  <si>
    <t>08/03/2026</t>
  </si>
  <si>
    <t>Documento de Alcance</t>
  </si>
  <si>
    <t>Incluido en propuesta</t>
  </si>
  <si>
    <t>Elaboración de diagramas (casos de uso, ER, arquitectura)</t>
  </si>
  <si>
    <t>09/03/2026</t>
  </si>
  <si>
    <t>12/03/2026</t>
  </si>
  <si>
    <t>Diagramas UML y ER</t>
  </si>
  <si>
    <t>Planificación de fases y cronograma</t>
  </si>
  <si>
    <t>13/03/2026</t>
  </si>
  <si>
    <t>15/03/2026</t>
  </si>
  <si>
    <t>Cronograma v1</t>
  </si>
  <si>
    <t>F2 – Diseño
del Sistema</t>
  </si>
  <si>
    <t>Diseño de arquitectura por capas (Frontend/Backend/BD)</t>
  </si>
  <si>
    <t>16/03/2026</t>
  </si>
  <si>
    <t>20/03/2026</t>
  </si>
  <si>
    <t>Doc. Arquitectura</t>
  </si>
  <si>
    <t>Entregado 5-oct-25</t>
  </si>
  <si>
    <t>Modelado de base de datos MySQL (entidades y relaciones)</t>
  </si>
  <si>
    <t>21/03/2026</t>
  </si>
  <si>
    <t>24/03/2026</t>
  </si>
  <si>
    <t>Diagrama ER + esquema SQL</t>
  </si>
  <si>
    <t>Diseño de prototipos UI/UX – Mockup y alta fidelidad</t>
  </si>
  <si>
    <t>25/03/2026</t>
  </si>
  <si>
    <t>28/03/2026</t>
  </si>
  <si>
    <t>Prototipo MarvelApp</t>
  </si>
  <si>
    <t>marvelapp.com/prototype/11i0h3f7</t>
  </si>
  <si>
    <t>Definición de estructura de APIs REST</t>
  </si>
  <si>
    <t>29/03/2026</t>
  </si>
  <si>
    <t>31/03/2026</t>
  </si>
  <si>
    <t>Especificación de endpoints</t>
  </si>
  <si>
    <t>F3 – Desarrollo
Backend</t>
  </si>
  <si>
    <t>Configuración del entorno y repositorio GitHub</t>
  </si>
  <si>
    <t>01/04/2026</t>
  </si>
  <si>
    <t>03/04/2026</t>
  </si>
  <si>
    <t>Repo MVPPresupuestos</t>
  </si>
  <si>
    <t>Vercel configurado</t>
  </si>
  <si>
    <t>Implementación de autenticación y registro de usuarios (JWT)</t>
  </si>
  <si>
    <t>04/04/2026</t>
  </si>
  <si>
    <t>12/04/2026</t>
  </si>
  <si>
    <t>Módulo de Auth</t>
  </si>
  <si>
    <t>Pendiente conexión a MySQL</t>
  </si>
  <si>
    <t>Desarrollo de módulos de ingresos y gastos</t>
  </si>
  <si>
    <t>13/04/2026</t>
  </si>
  <si>
    <t>20/04/2026</t>
  </si>
  <si>
    <t>API de transacciones</t>
  </si>
  <si>
    <t>Gestión de metas financieras (backend)</t>
  </si>
  <si>
    <t>21/04/2026</t>
  </si>
  <si>
    <t>25/04/2026</t>
  </si>
  <si>
    <t>API de metas</t>
  </si>
  <si>
    <t>Seguridad: validación de datos y encriptación de contraseñas</t>
  </si>
  <si>
    <t>26/04/2026</t>
  </si>
  <si>
    <t>30/04/2026</t>
  </si>
  <si>
    <t>Módulo de seguridad</t>
  </si>
  <si>
    <t>F4 – Desarrollo
Frontend</t>
  </si>
  <si>
    <t>Construcción de interfaz React (componentes base)</t>
  </si>
  <si>
    <t>01/05/2026</t>
  </si>
  <si>
    <t>08/05/2026</t>
  </si>
  <si>
    <t>Componentes React</t>
  </si>
  <si>
    <t>Integración con APIs del backend</t>
  </si>
  <si>
    <t>09/05/2026</t>
  </si>
  <si>
    <t>13/05/2026</t>
  </si>
  <si>
    <t>Conexión Frontend-Backend</t>
  </si>
  <si>
    <t>Implementación de dashboard y gráficos (Chart.js)</t>
  </si>
  <si>
    <t>14/05/2026</t>
  </si>
  <si>
    <t>17/05/2026</t>
  </si>
  <si>
    <t>Dashboard funcional</t>
  </si>
  <si>
    <t>Validaciones y experiencia de usuario (UX)</t>
  </si>
  <si>
    <t>18/05/2026</t>
  </si>
  <si>
    <t>20/05/2026</t>
  </si>
  <si>
    <t>🔄 En progreso</t>
  </si>
  <si>
    <t>UI validada</t>
  </si>
  <si>
    <t>F5 – Pruebas
e Integración</t>
  </si>
  <si>
    <t>Pruebas funcionales de todos los módulos</t>
  </si>
  <si>
    <t>21/05/2026</t>
  </si>
  <si>
    <t>28/05/2026</t>
  </si>
  <si>
    <t>⏳ Pendiente</t>
  </si>
  <si>
    <t>Reporte de pruebas</t>
  </si>
  <si>
    <t>Pruebas de seguridad (OWASP básico)</t>
  </si>
  <si>
    <t>29/05/2026</t>
  </si>
  <si>
    <t>04/06/2026</t>
  </si>
  <si>
    <t>Reporte de seguridad</t>
  </si>
  <si>
    <t>Corrección de errores y optimización de rendimiento</t>
  </si>
  <si>
    <t>05/06/2026</t>
  </si>
  <si>
    <t>10/06/2026</t>
  </si>
  <si>
    <t>App corregida y optimizada</t>
  </si>
  <si>
    <t>F6 – Despliegue
y Documentación</t>
  </si>
  <si>
    <t>Implementación en servidor cloud (Vercel + Railway)</t>
  </si>
  <si>
    <t>11/06/2026</t>
  </si>
  <si>
    <t>16/06/2026</t>
  </si>
  <si>
    <t>App desplegada en producción</t>
  </si>
  <si>
    <t>Dominio HTTPS</t>
  </si>
  <si>
    <t>Elaboración de documentación técnica final</t>
  </si>
  <si>
    <t>17/06/2026</t>
  </si>
  <si>
    <t>22/06/2026</t>
  </si>
  <si>
    <t>Documentación técnica completa</t>
  </si>
  <si>
    <t>README + Wiki</t>
  </si>
  <si>
    <t>Presentación final del proyecto</t>
  </si>
  <si>
    <t>23/06/2026</t>
  </si>
  <si>
    <t>30/06/2026</t>
  </si>
  <si>
    <t>Presentación final + demo live</t>
  </si>
  <si>
    <t>AVANCE GLOBAL DEL PROYECTO</t>
  </si>
  <si>
    <t>📈  Avance por Fase – TuPresupuesto</t>
  </si>
  <si>
    <t>Observación</t>
  </si>
  <si>
    <t>F1 – Análisis y Planificación</t>
  </si>
  <si>
    <t>Requerimientos, diagramas y planificación listos</t>
  </si>
  <si>
    <t>F2 – Diseño del Sistema</t>
  </si>
  <si>
    <t>Arquitectura, BD y prototipo MarvelApp listos</t>
  </si>
  <si>
    <t>F3 – Desarrollo Backend</t>
  </si>
  <si>
    <t>Estructura base en GitHub; auth pendiente</t>
  </si>
  <si>
    <t>F4 – Desarrollo Frontend</t>
  </si>
  <si>
    <t>HTML base listo; falta integración con API</t>
  </si>
  <si>
    <t>F5 – Pruebas e Integración</t>
  </si>
  <si>
    <t>No iniciada</t>
  </si>
  <si>
    <t>F6 – Despliegue y Docs</t>
  </si>
  <si>
    <t>Vercel configurado, sin deploy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</si>
</sst>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</font>
    <font>
      <i/>
      <sz val="10"/>
      <color rgb="FFCADCFC"/>
      <name val="Calibri"/>
      <family val="2"/>
    </font>
    <font>
      <b/>
      <sz val="12"/>
      <color rgb="FFFFFFFF"/>
      <name val="Calibri"/>
      <family val="2"/>
    </font>
    <font>
      <b/>
      <sz val="10"/>
      <color rgb="FF1E293B"/>
      <name val="Calibri"/>
      <family val="2"/>
    </font>
    <font>
      <b/>
      <sz val="10"/>
      <color rgb="FF028090"/>
      <name val="Calibri"/>
      <family val="2"/>
    </font>
    <font>
      <b/>
      <sz val="10"/>
      <color rgb="FF0A2342"/>
      <name val="Calibri"/>
      <family val="2"/>
    </font>
    <font>
      <b/>
      <sz val="10"/>
      <color rgb="FFFFFFFF"/>
      <name val="Calibri"/>
      <family val="2"/>
    </font>
    <font>
      <b/>
      <sz val="9"/>
      <color rgb="FF1E293B"/>
      <name val="Calibri"/>
      <family val="2"/>
    </font>
    <font>
      <sz val="9"/>
      <color rgb="FF1E293B"/>
      <name val="Calibri"/>
      <family val="2"/>
    </font>
    <font>
      <sz val="9"/>
      <color rgb="FF64748B"/>
      <name val="Calibri"/>
      <family val="2"/>
    </font>
    <font>
      <b/>
      <sz val="9"/>
      <color rgb="FF10B981"/>
      <name val="Calibri"/>
      <family val="2"/>
    </font>
    <font>
      <b/>
      <sz val="10"/>
      <color rgb="FF10B981"/>
      <name val="Calibri"/>
      <family val="2"/>
    </font>
    <font>
      <sz val="10"/>
      <color rgb="FF1E293B"/>
      <name val="Calibri"/>
      <family val="2"/>
    </font>
    <font>
      <b/>
      <sz val="10"/>
      <color rgb="FFF59E0B"/>
      <name val="Calibri"/>
      <family val="2"/>
    </font>
    <font>
      <b/>
      <sz val="9"/>
      <color rgb="FF64748B"/>
      <name val="Calibri"/>
      <family val="2"/>
    </font>
    <font>
      <b/>
      <sz val="10"/>
      <color rgb="FF64748B"/>
      <name val="Calibri"/>
      <family val="2"/>
    </font>
    <font>
      <b/>
      <sz val="14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A2342"/>
        <bgColor rgb="FF1E293B"/>
      </patternFill>
    </fill>
    <fill>
      <patternFill patternType="solid">
        <fgColor rgb="FF028090"/>
        <bgColor rgb="FF008080"/>
      </patternFill>
    </fill>
    <fill>
      <patternFill patternType="solid">
        <fgColor rgb="FFF4F9FB"/>
        <bgColor rgb="FFFFFFFF"/>
      </patternFill>
    </fill>
    <fill>
      <patternFill patternType="solid">
        <fgColor rgb="FFD1FAE5"/>
        <bgColor rgb="FFD0F9E4"/>
      </patternFill>
    </fill>
    <fill>
      <patternFill patternType="solid">
        <fgColor rgb="FFD0F9E4"/>
        <bgColor rgb="FFD1FAE5"/>
      </patternFill>
    </fill>
    <fill>
      <patternFill patternType="solid">
        <fgColor rgb="FFFEF3C7"/>
        <bgColor rgb="FFFFFF99"/>
      </patternFill>
    </fill>
    <fill>
      <patternFill patternType="solid">
        <fgColor rgb="FFD1FAE5"/>
        <bgColor rgb="FFFFFF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9" fontId="6" fillId="4" borderId="0" xfId="0" applyNumberFormat="1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9" fontId="12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9" fontId="12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9" fontId="14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9" fontId="16" fillId="4" borderId="1" xfId="0" applyNumberFormat="1" applyFont="1" applyFill="1" applyBorder="1" applyAlignment="1">
      <alignment horizontal="center" vertical="center" wrapText="1"/>
    </xf>
    <xf numFmtId="9" fontId="3" fillId="3" borderId="0" xfId="0" applyNumberFormat="1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9" fontId="12" fillId="8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78787"/>
      <rgbColor rgb="FF9999FF"/>
      <rgbColor rgb="FFC0504D"/>
      <rgbColor rgb="FFFEF3C7"/>
      <rgbColor rgb="FFD1FAE5"/>
      <rgbColor rgb="FF660066"/>
      <rgbColor rgb="FFF79646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9FB"/>
      <rgbColor rgb="FFD0F9E4"/>
      <rgbColor rgb="FFFFFF99"/>
      <rgbColor rgb="FF99CCFF"/>
      <rgbColor rgb="FFFF99CC"/>
      <rgbColor rgb="FFCC99FF"/>
      <rgbColor rgb="FFD9D9D9"/>
      <rgbColor rgb="FF4F81BD"/>
      <rgbColor rgb="FF4BACC6"/>
      <rgbColor rgb="FF9BBB59"/>
      <rgbColor rgb="FFFFCC00"/>
      <rgbColor rgb="FFF59E0B"/>
      <rgbColor rgb="FFFF6600"/>
      <rgbColor rgb="FF64748B"/>
      <rgbColor rgb="FF8064A2"/>
      <rgbColor rgb="FF0A2342"/>
      <rgbColor rgb="FF10B981"/>
      <rgbColor rgb="FF003300"/>
      <rgbColor rgb="FF333300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0B981"/>
      <color rgb="FFD1FA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% de Avance por Fase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'Avance por Fase'!$C$2</c:f>
              <c:strCache>
                <c:ptCount val="1"/>
                <c:pt idx="0">
                  <c:v>% Completado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4F81B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1-D301-4A58-8DF2-55A120CE794C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301-4A58-8DF2-55A120CE794C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D301-4A58-8DF2-55A120CE794C}"/>
              </c:ext>
            </c:extLst>
          </c:dPt>
          <c:dPt>
            <c:idx val="3"/>
            <c:invertIfNegative val="1"/>
            <c:bubble3D val="0"/>
            <c:spPr>
              <a:solidFill>
                <a:srgbClr val="8064A2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D301-4A58-8DF2-55A120CE794C}"/>
              </c:ext>
            </c:extLst>
          </c:dPt>
          <c:dPt>
            <c:idx val="4"/>
            <c:invertIfNegative val="1"/>
            <c:bubble3D val="0"/>
            <c:spPr>
              <a:solidFill>
                <a:srgbClr val="4BACC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9-D301-4A58-8DF2-55A120CE794C}"/>
              </c:ext>
            </c:extLst>
          </c:dPt>
          <c:dPt>
            <c:idx val="5"/>
            <c:invertIfNegative val="1"/>
            <c:bubble3D val="0"/>
            <c:spPr>
              <a:solidFill>
                <a:srgbClr val="F7964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B-D301-4A58-8DF2-55A120CE794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301-4A58-8DF2-55A120CE794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301-4A58-8DF2-55A120CE794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301-4A58-8DF2-55A120CE794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301-4A58-8DF2-55A120CE794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301-4A58-8DF2-55A120CE794C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D301-4A58-8DF2-55A120CE79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'Avance por Fase'!$A$3:$A$8</c:f>
              <c:strCache>
                <c:ptCount val="6"/>
                <c:pt idx="0">
                  <c:v>F1 – Análisis y Planificación</c:v>
                </c:pt>
                <c:pt idx="1">
                  <c:v>F2 – Diseño del Sistema</c:v>
                </c:pt>
                <c:pt idx="2">
                  <c:v>F3 – Desarrollo Backend</c:v>
                </c:pt>
                <c:pt idx="3">
                  <c:v>F4 – Desarrollo Frontend</c:v>
                </c:pt>
                <c:pt idx="4">
                  <c:v>F5 – Pruebas e Integración</c:v>
                </c:pt>
                <c:pt idx="5">
                  <c:v>F6 – Despliegue y Docs</c:v>
                </c:pt>
              </c:strCache>
            </c:strRef>
          </c:cat>
          <c:val>
            <c:numRef>
              <c:f>'Avance por Fase'!$C$3:$C$8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0.83750000000000002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301-4A58-8DF2-55A120CE7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52965"/>
        <c:axId val="20825209"/>
      </c:barChart>
      <c:catAx>
        <c:axId val="53152965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Completado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20825209"/>
        <c:crosses val="autoZero"/>
        <c:auto val="1"/>
        <c:lblAlgn val="ctr"/>
        <c:lblOffset val="100"/>
        <c:noMultiLvlLbl val="0"/>
      </c:catAx>
      <c:valAx>
        <c:axId val="20825209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crossAx val="531529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4</xdr:col>
      <xdr:colOff>136080</xdr:colOff>
      <xdr:row>32</xdr:row>
      <xdr:rowOff>157320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opLeftCell="A19" zoomScaleNormal="100" workbookViewId="0">
      <selection activeCell="G27" sqref="G27"/>
    </sheetView>
  </sheetViews>
  <sheetFormatPr baseColWidth="10" defaultColWidth="8.88671875" defaultRowHeight="14.4" x14ac:dyDescent="0.3"/>
  <cols>
    <col min="1" max="1" width="18" customWidth="1"/>
    <col min="2" max="2" width="38" customWidth="1"/>
    <col min="3" max="4" width="14" customWidth="1"/>
    <col min="5" max="5" width="11" customWidth="1"/>
    <col min="6" max="8" width="16" customWidth="1"/>
    <col min="9" max="9" width="24" customWidth="1"/>
    <col min="10" max="10" width="36" customWidth="1"/>
  </cols>
  <sheetData>
    <row r="1" spans="1:12" ht="36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9.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21.75" customHeight="1" x14ac:dyDescent="0.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32.25" customHeight="1" x14ac:dyDescent="0.3">
      <c r="A5" s="9" t="s">
        <v>3</v>
      </c>
      <c r="B5" s="5" t="s">
        <v>4</v>
      </c>
      <c r="C5" s="5"/>
      <c r="D5" s="5"/>
      <c r="E5" s="9" t="s">
        <v>5</v>
      </c>
      <c r="F5" s="4" t="s">
        <v>6</v>
      </c>
      <c r="G5" s="4"/>
      <c r="H5" s="4"/>
    </row>
    <row r="6" spans="1:12" ht="30" customHeight="1" x14ac:dyDescent="0.3">
      <c r="A6" s="9" t="s">
        <v>7</v>
      </c>
      <c r="B6" s="5" t="s">
        <v>8</v>
      </c>
      <c r="C6" s="5"/>
      <c r="D6" s="5"/>
      <c r="E6" s="9" t="s">
        <v>9</v>
      </c>
      <c r="F6" s="3">
        <f>AVERAGE(G11:G33)</f>
        <v>0.71086956521739142</v>
      </c>
      <c r="G6" s="3"/>
      <c r="H6" s="3"/>
    </row>
    <row r="7" spans="1:12" ht="23.25" customHeight="1" x14ac:dyDescent="0.3">
      <c r="A7" s="9" t="s">
        <v>10</v>
      </c>
      <c r="B7" s="5" t="s">
        <v>11</v>
      </c>
      <c r="C7" s="5"/>
      <c r="D7" s="5"/>
      <c r="E7" s="9" t="s">
        <v>12</v>
      </c>
      <c r="F7" s="4" t="str">
        <f>(IF(AVERAGE(G11:G14)=1,1,0)+IF(AVERAGE(G15:G18)=1,1,0)+IF(AVERAGE(G19:G23)=1,1,0)+IF(AVERAGE(G24:G27)=1,1,0)+IF(AVERAGE(G28:G30)=1,1,0)+IF(AVERAGE(G31:G33)=1,1,0))&amp;" de 6"</f>
        <v>3 de 6</v>
      </c>
      <c r="G7" s="4"/>
      <c r="H7" s="4"/>
    </row>
    <row r="8" spans="1:12" ht="33.75" customHeight="1" x14ac:dyDescent="0.3">
      <c r="A8" s="9" t="s">
        <v>13</v>
      </c>
      <c r="B8" s="5" t="s">
        <v>14</v>
      </c>
      <c r="C8" s="5"/>
      <c r="D8" s="5"/>
      <c r="E8" s="9" t="s">
        <v>15</v>
      </c>
      <c r="F8" s="4" t="s">
        <v>16</v>
      </c>
      <c r="G8" s="4"/>
      <c r="H8" s="4"/>
    </row>
    <row r="10" spans="1:12" ht="27.75" customHeight="1" x14ac:dyDescent="0.3">
      <c r="A10" s="10" t="s">
        <v>17</v>
      </c>
      <c r="B10" s="10" t="s">
        <v>18</v>
      </c>
      <c r="C10" s="10" t="s">
        <v>19</v>
      </c>
      <c r="D10" s="10" t="s">
        <v>20</v>
      </c>
      <c r="E10" s="10" t="s">
        <v>21</v>
      </c>
      <c r="F10" s="10" t="s">
        <v>22</v>
      </c>
      <c r="G10" s="10" t="s">
        <v>23</v>
      </c>
      <c r="H10" s="10" t="s">
        <v>24</v>
      </c>
      <c r="I10" s="10" t="s">
        <v>25</v>
      </c>
      <c r="J10" s="10" t="s">
        <v>26</v>
      </c>
    </row>
    <row r="11" spans="1:12" ht="32.25" customHeight="1" x14ac:dyDescent="0.3">
      <c r="A11" s="11" t="s">
        <v>27</v>
      </c>
      <c r="B11" s="12" t="s">
        <v>28</v>
      </c>
      <c r="C11" s="13" t="s">
        <v>29</v>
      </c>
      <c r="D11" s="13" t="s">
        <v>30</v>
      </c>
      <c r="E11" s="14">
        <v>5</v>
      </c>
      <c r="F11" s="15" t="s">
        <v>31</v>
      </c>
      <c r="G11" s="16">
        <v>1</v>
      </c>
      <c r="H11" s="17" t="s">
        <v>32</v>
      </c>
      <c r="I11" s="17" t="s">
        <v>33</v>
      </c>
      <c r="J11" s="17" t="s">
        <v>34</v>
      </c>
    </row>
    <row r="12" spans="1:12" ht="27" customHeight="1" x14ac:dyDescent="0.3">
      <c r="A12" s="13"/>
      <c r="B12" s="12" t="s">
        <v>35</v>
      </c>
      <c r="C12" s="13" t="s">
        <v>36</v>
      </c>
      <c r="D12" s="13" t="s">
        <v>37</v>
      </c>
      <c r="E12" s="14">
        <v>3</v>
      </c>
      <c r="F12" s="15" t="s">
        <v>31</v>
      </c>
      <c r="G12" s="16">
        <v>1</v>
      </c>
      <c r="H12" s="17" t="s">
        <v>32</v>
      </c>
      <c r="I12" s="17" t="s">
        <v>38</v>
      </c>
      <c r="J12" s="17" t="s">
        <v>39</v>
      </c>
    </row>
    <row r="13" spans="1:12" ht="27" customHeight="1" x14ac:dyDescent="0.3">
      <c r="A13" s="13"/>
      <c r="B13" s="12" t="s">
        <v>40</v>
      </c>
      <c r="C13" s="13" t="s">
        <v>41</v>
      </c>
      <c r="D13" s="13" t="s">
        <v>42</v>
      </c>
      <c r="E13" s="14">
        <v>4</v>
      </c>
      <c r="F13" s="15" t="s">
        <v>31</v>
      </c>
      <c r="G13" s="16">
        <v>1</v>
      </c>
      <c r="H13" s="17" t="s">
        <v>32</v>
      </c>
      <c r="I13" s="17" t="s">
        <v>43</v>
      </c>
      <c r="J13" s="17"/>
    </row>
    <row r="14" spans="1:12" ht="27" customHeight="1" x14ac:dyDescent="0.3">
      <c r="A14" s="13"/>
      <c r="B14" s="12" t="s">
        <v>44</v>
      </c>
      <c r="C14" s="13" t="s">
        <v>45</v>
      </c>
      <c r="D14" s="13" t="s">
        <v>46</v>
      </c>
      <c r="E14" s="14">
        <v>3</v>
      </c>
      <c r="F14" s="15" t="s">
        <v>31</v>
      </c>
      <c r="G14" s="16">
        <v>1</v>
      </c>
      <c r="H14" s="17" t="s">
        <v>32</v>
      </c>
      <c r="I14" s="17" t="s">
        <v>47</v>
      </c>
      <c r="J14" s="17"/>
    </row>
    <row r="15" spans="1:12" ht="24" customHeight="1" x14ac:dyDescent="0.3">
      <c r="A15" s="11" t="s">
        <v>48</v>
      </c>
      <c r="B15" s="12" t="s">
        <v>49</v>
      </c>
      <c r="C15" s="13" t="s">
        <v>50</v>
      </c>
      <c r="D15" s="13" t="s">
        <v>51</v>
      </c>
      <c r="E15" s="14">
        <v>5</v>
      </c>
      <c r="F15" s="15" t="s">
        <v>31</v>
      </c>
      <c r="G15" s="16">
        <v>1</v>
      </c>
      <c r="H15" s="17" t="s">
        <v>32</v>
      </c>
      <c r="I15" s="17" t="s">
        <v>52</v>
      </c>
      <c r="J15" s="17" t="s">
        <v>53</v>
      </c>
    </row>
    <row r="16" spans="1:12" ht="28.5" customHeight="1" x14ac:dyDescent="0.3">
      <c r="A16" s="13"/>
      <c r="B16" s="12" t="s">
        <v>54</v>
      </c>
      <c r="C16" s="13" t="s">
        <v>55</v>
      </c>
      <c r="D16" s="13" t="s">
        <v>56</v>
      </c>
      <c r="E16" s="14">
        <v>4</v>
      </c>
      <c r="F16" s="15" t="s">
        <v>31</v>
      </c>
      <c r="G16" s="16">
        <v>1</v>
      </c>
      <c r="H16" s="17" t="s">
        <v>32</v>
      </c>
      <c r="I16" s="17" t="s">
        <v>57</v>
      </c>
      <c r="J16" s="17"/>
    </row>
    <row r="17" spans="1:10" ht="19.5" customHeight="1" x14ac:dyDescent="0.3">
      <c r="A17" s="13"/>
      <c r="B17" s="12" t="s">
        <v>58</v>
      </c>
      <c r="C17" s="13" t="s">
        <v>59</v>
      </c>
      <c r="D17" s="13" t="s">
        <v>60</v>
      </c>
      <c r="E17" s="14">
        <v>4</v>
      </c>
      <c r="F17" s="15" t="s">
        <v>31</v>
      </c>
      <c r="G17" s="16">
        <v>1</v>
      </c>
      <c r="H17" s="17" t="s">
        <v>32</v>
      </c>
      <c r="I17" s="17" t="s">
        <v>61</v>
      </c>
      <c r="J17" s="17" t="s">
        <v>62</v>
      </c>
    </row>
    <row r="18" spans="1:10" ht="19.5" customHeight="1" x14ac:dyDescent="0.3">
      <c r="A18" s="18"/>
      <c r="B18" s="12" t="s">
        <v>63</v>
      </c>
      <c r="C18" s="13" t="s">
        <v>64</v>
      </c>
      <c r="D18" s="13" t="s">
        <v>65</v>
      </c>
      <c r="E18" s="14">
        <v>3</v>
      </c>
      <c r="F18" s="15" t="s">
        <v>31</v>
      </c>
      <c r="G18" s="16">
        <v>1</v>
      </c>
      <c r="H18" s="17" t="s">
        <v>32</v>
      </c>
      <c r="I18" s="17" t="s">
        <v>66</v>
      </c>
      <c r="J18" s="17"/>
    </row>
    <row r="19" spans="1:10" ht="27" customHeight="1" x14ac:dyDescent="0.3">
      <c r="A19" s="19" t="s">
        <v>67</v>
      </c>
      <c r="B19" s="20" t="s">
        <v>68</v>
      </c>
      <c r="C19" s="18" t="s">
        <v>69</v>
      </c>
      <c r="D19" s="18" t="s">
        <v>70</v>
      </c>
      <c r="E19" s="21">
        <v>3</v>
      </c>
      <c r="F19" s="22" t="s">
        <v>31</v>
      </c>
      <c r="G19" s="23">
        <v>1</v>
      </c>
      <c r="H19" s="24" t="s">
        <v>32</v>
      </c>
      <c r="I19" s="24" t="s">
        <v>71</v>
      </c>
      <c r="J19" s="24" t="s">
        <v>72</v>
      </c>
    </row>
    <row r="20" spans="1:10" ht="24.75" customHeight="1" x14ac:dyDescent="0.3">
      <c r="A20" s="18"/>
      <c r="B20" s="20" t="s">
        <v>73</v>
      </c>
      <c r="C20" s="18" t="s">
        <v>74</v>
      </c>
      <c r="D20" s="18" t="s">
        <v>75</v>
      </c>
      <c r="E20" s="21">
        <v>9</v>
      </c>
      <c r="F20" s="22" t="s">
        <v>31</v>
      </c>
      <c r="G20" s="23">
        <v>1</v>
      </c>
      <c r="H20" s="24" t="s">
        <v>32</v>
      </c>
      <c r="I20" s="24" t="s">
        <v>76</v>
      </c>
      <c r="J20" s="24" t="s">
        <v>77</v>
      </c>
    </row>
    <row r="21" spans="1:10" ht="19.5" customHeight="1" x14ac:dyDescent="0.3">
      <c r="A21" s="18"/>
      <c r="B21" s="20" t="s">
        <v>78</v>
      </c>
      <c r="C21" s="18" t="s">
        <v>79</v>
      </c>
      <c r="D21" s="18" t="s">
        <v>80</v>
      </c>
      <c r="E21" s="21">
        <v>8</v>
      </c>
      <c r="F21" s="22" t="s">
        <v>31</v>
      </c>
      <c r="G21" s="23">
        <v>1</v>
      </c>
      <c r="H21" s="24" t="s">
        <v>32</v>
      </c>
      <c r="I21" s="24" t="s">
        <v>81</v>
      </c>
      <c r="J21" s="24"/>
    </row>
    <row r="22" spans="1:10" ht="19.5" customHeight="1" x14ac:dyDescent="0.3">
      <c r="A22" s="18"/>
      <c r="B22" s="20" t="s">
        <v>82</v>
      </c>
      <c r="C22" s="18" t="s">
        <v>83</v>
      </c>
      <c r="D22" s="18" t="s">
        <v>84</v>
      </c>
      <c r="E22" s="21">
        <v>5</v>
      </c>
      <c r="F22" s="22" t="s">
        <v>31</v>
      </c>
      <c r="G22" s="23">
        <v>1</v>
      </c>
      <c r="H22" s="24" t="s">
        <v>32</v>
      </c>
      <c r="I22" s="24" t="s">
        <v>85</v>
      </c>
      <c r="J22" s="24"/>
    </row>
    <row r="23" spans="1:10" ht="27.75" customHeight="1" x14ac:dyDescent="0.3">
      <c r="A23" s="18"/>
      <c r="B23" s="20" t="s">
        <v>86</v>
      </c>
      <c r="C23" s="18" t="s">
        <v>87</v>
      </c>
      <c r="D23" s="18" t="s">
        <v>88</v>
      </c>
      <c r="E23" s="21">
        <v>5</v>
      </c>
      <c r="F23" s="22" t="s">
        <v>31</v>
      </c>
      <c r="G23" s="23">
        <v>1</v>
      </c>
      <c r="H23" s="24" t="s">
        <v>32</v>
      </c>
      <c r="I23" s="24" t="s">
        <v>89</v>
      </c>
      <c r="J23" s="24"/>
    </row>
    <row r="24" spans="1:10" ht="19.5" customHeight="1" x14ac:dyDescent="0.3">
      <c r="A24" s="19" t="s">
        <v>90</v>
      </c>
      <c r="B24" s="20" t="s">
        <v>91</v>
      </c>
      <c r="C24" s="18" t="s">
        <v>92</v>
      </c>
      <c r="D24" s="18" t="s">
        <v>93</v>
      </c>
      <c r="E24" s="21">
        <v>8</v>
      </c>
      <c r="F24" s="22" t="s">
        <v>31</v>
      </c>
      <c r="G24" s="23">
        <v>1</v>
      </c>
      <c r="H24" s="24" t="s">
        <v>32</v>
      </c>
      <c r="I24" s="24" t="s">
        <v>94</v>
      </c>
      <c r="J24" s="25"/>
    </row>
    <row r="25" spans="1:10" ht="19.5" customHeight="1" x14ac:dyDescent="0.3">
      <c r="A25" s="18"/>
      <c r="B25" s="20" t="s">
        <v>95</v>
      </c>
      <c r="C25" s="18" t="s">
        <v>96</v>
      </c>
      <c r="D25" s="18" t="s">
        <v>97</v>
      </c>
      <c r="E25" s="21">
        <v>5</v>
      </c>
      <c r="F25" s="22" t="s">
        <v>31</v>
      </c>
      <c r="G25" s="23">
        <v>1</v>
      </c>
      <c r="H25" s="24" t="s">
        <v>32</v>
      </c>
      <c r="I25" s="24" t="s">
        <v>98</v>
      </c>
      <c r="J25" s="25"/>
    </row>
    <row r="26" spans="1:10" ht="19.5" customHeight="1" x14ac:dyDescent="0.3">
      <c r="A26" s="18"/>
      <c r="B26" s="20" t="s">
        <v>99</v>
      </c>
      <c r="C26" s="18" t="s">
        <v>100</v>
      </c>
      <c r="D26" s="18" t="s">
        <v>101</v>
      </c>
      <c r="E26" s="21">
        <v>4</v>
      </c>
      <c r="F26" s="22" t="s">
        <v>31</v>
      </c>
      <c r="G26" s="23">
        <v>1</v>
      </c>
      <c r="H26" s="24" t="s">
        <v>32</v>
      </c>
      <c r="I26" s="24" t="s">
        <v>102</v>
      </c>
      <c r="J26" s="25"/>
    </row>
    <row r="27" spans="1:10" ht="19.5" customHeight="1" x14ac:dyDescent="0.3">
      <c r="A27" s="26"/>
      <c r="B27" s="27" t="s">
        <v>103</v>
      </c>
      <c r="C27" s="26" t="s">
        <v>104</v>
      </c>
      <c r="D27" s="26" t="s">
        <v>105</v>
      </c>
      <c r="E27" s="28">
        <v>3</v>
      </c>
      <c r="F27" s="29" t="s">
        <v>106</v>
      </c>
      <c r="G27" s="30">
        <v>0.35</v>
      </c>
      <c r="H27" s="31" t="s">
        <v>32</v>
      </c>
      <c r="I27" s="31" t="s">
        <v>107</v>
      </c>
      <c r="J27" s="25"/>
    </row>
    <row r="28" spans="1:10" ht="19.5" customHeight="1" x14ac:dyDescent="0.3">
      <c r="A28" s="32" t="s">
        <v>108</v>
      </c>
      <c r="B28" s="33" t="s">
        <v>109</v>
      </c>
      <c r="C28" s="34" t="s">
        <v>110</v>
      </c>
      <c r="D28" s="34" t="s">
        <v>111</v>
      </c>
      <c r="E28" s="35">
        <v>8</v>
      </c>
      <c r="F28" s="36" t="s">
        <v>112</v>
      </c>
      <c r="G28" s="37">
        <v>0</v>
      </c>
      <c r="H28" s="25" t="s">
        <v>32</v>
      </c>
      <c r="I28" s="25" t="s">
        <v>113</v>
      </c>
      <c r="J28" s="25"/>
    </row>
    <row r="29" spans="1:10" ht="19.5" customHeight="1" x14ac:dyDescent="0.3">
      <c r="A29" s="34"/>
      <c r="B29" s="33" t="s">
        <v>114</v>
      </c>
      <c r="C29" s="34" t="s">
        <v>115</v>
      </c>
      <c r="D29" s="34" t="s">
        <v>116</v>
      </c>
      <c r="E29" s="35">
        <v>7</v>
      </c>
      <c r="F29" s="36" t="s">
        <v>112</v>
      </c>
      <c r="G29" s="37">
        <v>0</v>
      </c>
      <c r="H29" s="25" t="s">
        <v>32</v>
      </c>
      <c r="I29" s="25" t="s">
        <v>117</v>
      </c>
      <c r="J29" s="25"/>
    </row>
    <row r="30" spans="1:10" ht="19.5" customHeight="1" x14ac:dyDescent="0.3">
      <c r="A30" s="34"/>
      <c r="B30" s="33" t="s">
        <v>118</v>
      </c>
      <c r="C30" s="34" t="s">
        <v>119</v>
      </c>
      <c r="D30" s="34" t="s">
        <v>120</v>
      </c>
      <c r="E30" s="35">
        <v>6</v>
      </c>
      <c r="F30" s="36" t="s">
        <v>112</v>
      </c>
      <c r="G30" s="37">
        <v>0</v>
      </c>
      <c r="H30" s="25" t="s">
        <v>32</v>
      </c>
      <c r="I30" s="25" t="s">
        <v>121</v>
      </c>
      <c r="J30" s="25"/>
    </row>
    <row r="31" spans="1:10" ht="19.5" customHeight="1" x14ac:dyDescent="0.3">
      <c r="A31" s="32" t="s">
        <v>122</v>
      </c>
      <c r="B31" s="33" t="s">
        <v>123</v>
      </c>
      <c r="C31" s="34" t="s">
        <v>124</v>
      </c>
      <c r="D31" s="34" t="s">
        <v>125</v>
      </c>
      <c r="E31" s="35">
        <v>6</v>
      </c>
      <c r="F31" s="36" t="s">
        <v>112</v>
      </c>
      <c r="G31" s="37">
        <v>0</v>
      </c>
      <c r="H31" s="25" t="s">
        <v>32</v>
      </c>
      <c r="I31" s="25" t="s">
        <v>126</v>
      </c>
      <c r="J31" s="25" t="s">
        <v>127</v>
      </c>
    </row>
    <row r="32" spans="1:10" ht="19.5" customHeight="1" x14ac:dyDescent="0.3">
      <c r="A32" s="34"/>
      <c r="B32" s="33" t="s">
        <v>128</v>
      </c>
      <c r="C32" s="34" t="s">
        <v>129</v>
      </c>
      <c r="D32" s="34" t="s">
        <v>130</v>
      </c>
      <c r="E32" s="35">
        <v>6</v>
      </c>
      <c r="F32" s="36" t="s">
        <v>112</v>
      </c>
      <c r="G32" s="37">
        <v>0</v>
      </c>
      <c r="H32" s="25" t="s">
        <v>32</v>
      </c>
      <c r="I32" s="25" t="s">
        <v>131</v>
      </c>
      <c r="J32" s="25" t="s">
        <v>132</v>
      </c>
    </row>
    <row r="33" spans="1:10" ht="19.5" customHeight="1" x14ac:dyDescent="0.3">
      <c r="A33" s="34"/>
      <c r="B33" s="33" t="s">
        <v>133</v>
      </c>
      <c r="C33" s="34" t="s">
        <v>134</v>
      </c>
      <c r="D33" s="34" t="s">
        <v>135</v>
      </c>
      <c r="E33" s="35">
        <v>8</v>
      </c>
      <c r="F33" s="36" t="s">
        <v>112</v>
      </c>
      <c r="G33" s="37">
        <v>0</v>
      </c>
      <c r="H33" s="25" t="s">
        <v>32</v>
      </c>
      <c r="I33" s="25" t="s">
        <v>136</v>
      </c>
      <c r="J33" s="25"/>
    </row>
    <row r="34" spans="1:10" ht="21.75" customHeight="1" x14ac:dyDescent="0.3">
      <c r="A34" s="2" t="s">
        <v>137</v>
      </c>
      <c r="B34" s="2"/>
      <c r="C34" s="2"/>
      <c r="D34" s="2"/>
      <c r="E34" s="2"/>
      <c r="G34" s="38">
        <f>AVERAGE(G11:G33)</f>
        <v>0.71086956521739142</v>
      </c>
    </row>
  </sheetData>
  <mergeCells count="12">
    <mergeCell ref="A34:E34"/>
    <mergeCell ref="B6:D6"/>
    <mergeCell ref="F6:H6"/>
    <mergeCell ref="B7:D7"/>
    <mergeCell ref="F7:H7"/>
    <mergeCell ref="B8:D8"/>
    <mergeCell ref="F8:H8"/>
    <mergeCell ref="A1:L1"/>
    <mergeCell ref="A2:L2"/>
    <mergeCell ref="A4:L4"/>
    <mergeCell ref="B5:D5"/>
    <mergeCell ref="F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topLeftCell="A2" zoomScaleNormal="100" workbookViewId="0">
      <selection activeCell="C5" sqref="C5"/>
    </sheetView>
  </sheetViews>
  <sheetFormatPr baseColWidth="10" defaultColWidth="8.88671875" defaultRowHeight="14.4" x14ac:dyDescent="0.3"/>
  <cols>
    <col min="1" max="1" width="28" customWidth="1"/>
    <col min="2" max="3" width="20" customWidth="1"/>
    <col min="4" max="4" width="22" customWidth="1"/>
  </cols>
  <sheetData>
    <row r="1" spans="1:4" ht="30" customHeight="1" x14ac:dyDescent="0.3">
      <c r="A1" s="1" t="s">
        <v>138</v>
      </c>
      <c r="B1" s="1"/>
      <c r="C1" s="1"/>
      <c r="D1" s="1"/>
    </row>
    <row r="2" spans="1:4" ht="21.75" customHeight="1" x14ac:dyDescent="0.3">
      <c r="A2" s="39" t="s">
        <v>17</v>
      </c>
      <c r="B2" s="39" t="s">
        <v>22</v>
      </c>
      <c r="C2" s="39" t="s">
        <v>23</v>
      </c>
      <c r="D2" s="39" t="s">
        <v>139</v>
      </c>
    </row>
    <row r="3" spans="1:4" ht="21.75" customHeight="1" x14ac:dyDescent="0.3">
      <c r="A3" s="40" t="s">
        <v>140</v>
      </c>
      <c r="B3" s="41" t="str">
        <f t="shared" ref="B3:B8" si="0">IF(C3=1,"✅ Completada",IF(C3=0,"⏳ Pendiente","🔄 En progreso"))</f>
        <v>✅ Completada</v>
      </c>
      <c r="C3" s="16">
        <f>AVERAGE(Cronograma!G11:G14)</f>
        <v>1</v>
      </c>
      <c r="D3" s="40" t="s">
        <v>141</v>
      </c>
    </row>
    <row r="4" spans="1:4" ht="21.75" customHeight="1" x14ac:dyDescent="0.3">
      <c r="A4" s="40" t="s">
        <v>142</v>
      </c>
      <c r="B4" s="41" t="str">
        <f t="shared" si="0"/>
        <v>✅ Completada</v>
      </c>
      <c r="C4" s="16">
        <f>AVERAGE(Cronograma!G15:G18)</f>
        <v>1</v>
      </c>
      <c r="D4" s="40" t="s">
        <v>143</v>
      </c>
    </row>
    <row r="5" spans="1:4" ht="21.75" customHeight="1" x14ac:dyDescent="0.3">
      <c r="A5" s="45" t="s">
        <v>144</v>
      </c>
      <c r="B5" s="46" t="str">
        <f t="shared" si="0"/>
        <v>✅ Completada</v>
      </c>
      <c r="C5" s="47">
        <f>AVERAGE(Cronograma!G19:G23)</f>
        <v>1</v>
      </c>
      <c r="D5" s="45" t="s">
        <v>145</v>
      </c>
    </row>
    <row r="6" spans="1:4" ht="21.75" customHeight="1" x14ac:dyDescent="0.3">
      <c r="A6" s="42" t="s">
        <v>146</v>
      </c>
      <c r="B6" s="29" t="str">
        <f t="shared" si="0"/>
        <v>🔄 En progreso</v>
      </c>
      <c r="C6" s="30">
        <f>AVERAGE(Cronograma!G24:G27)</f>
        <v>0.83750000000000002</v>
      </c>
      <c r="D6" s="42" t="s">
        <v>147</v>
      </c>
    </row>
    <row r="7" spans="1:4" ht="21.75" customHeight="1" x14ac:dyDescent="0.3">
      <c r="A7" s="43" t="s">
        <v>148</v>
      </c>
      <c r="B7" s="44" t="str">
        <f t="shared" si="0"/>
        <v>⏳ Pendiente</v>
      </c>
      <c r="C7" s="37">
        <f>AVERAGE(Cronograma!G28:G30)</f>
        <v>0</v>
      </c>
      <c r="D7" s="43" t="s">
        <v>149</v>
      </c>
    </row>
    <row r="8" spans="1:4" ht="21.75" customHeight="1" x14ac:dyDescent="0.3">
      <c r="A8" s="42" t="s">
        <v>150</v>
      </c>
      <c r="B8" s="29" t="str">
        <f t="shared" si="0"/>
        <v>⏳ Pendiente</v>
      </c>
      <c r="C8" s="30">
        <f>AVERAGE(Cronograma!G31:G33)</f>
        <v>0</v>
      </c>
      <c r="D8" s="42" t="s">
        <v>151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Avance por Fase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Geraldine Rios Lameda</cp:lastModifiedBy>
  <cp:revision>1</cp:revision>
  <dcterms:created xsi:type="dcterms:W3CDTF">2026-04-30T18:16:39Z</dcterms:created>
  <dcterms:modified xsi:type="dcterms:W3CDTF">2026-05-21T04:35:30Z</dcterms:modified>
  <dc:language>en-US</dc:language>
</cp:coreProperties>
</file>