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sumen" sheetId="1" state="visible" r:id="rId3"/>
    <sheet name="Casos de prueb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<sst xmlns="http://schemas.openxmlformats.org/spreadsheetml/2006/main" count="189" uniqueCount="142">
  <si>
    <t xml:space="preserve">Resumen de ejecución — Frontend TuPresupuesto</t>
  </si>
  <si>
    <t xml:space="preserve">Total de casos</t>
  </si>
  <si>
    <t xml:space="preserve">Casos que pasaron</t>
  </si>
  <si>
    <t xml:space="preserve">Casos que fallaron</t>
  </si>
  <si>
    <t xml:space="preserve">Casos bloqueados</t>
  </si>
  <si>
    <t xml:space="preserve">Casos sin ejecutar</t>
  </si>
  <si>
    <t xml:space="preserve">% de éxito</t>
  </si>
  <si>
    <t xml:space="preserve">Cómo agregar o ajustar casos</t>
  </si>
  <si>
    <t xml:space="preserve">Esta planilla usa una TABLA DINÁMICA de Excel.</t>
  </si>
  <si>
    <t xml:space="preserve">• Para AGREGAR un caso: ve a la última fila de la tabla y presiona Tab,</t>
  </si>
  <si>
    <t xml:space="preserve">  o escribe directamente en la fila justo debajo: la tabla se extiende sola.</t>
  </si>
  <si>
    <t xml:space="preserve">• La fila nueva hereda el formato, la lista de 'Estado' y los colores.</t>
  </si>
  <si>
    <t xml:space="preserve">• Para EDITAR: cambia cualquier celda libremente.</t>
  </si>
  <si>
    <t xml:space="preserve">• Para BORRAR un caso: clic derecho en la fila &gt; Eliminar fila de la tabla.</t>
  </si>
  <si>
    <t xml:space="preserve">• Los KPIs y el % de éxito de esta hoja se recalculan automáticamente,</t>
  </si>
  <si>
    <t xml:space="preserve">  porque las fórmulas apuntan a la tabla completa, no a un rango fijo.</t>
  </si>
  <si>
    <t xml:space="preserve">Plan de pruebas — Frontend TuPresupuesto</t>
  </si>
  <si>
    <t xml:space="preserve">React 18 · pruebas en el navegador · tabla dinámica</t>
  </si>
  <si>
    <t xml:space="preserve">ID</t>
  </si>
  <si>
    <t xml:space="preserve">Módulo</t>
  </si>
  <si>
    <t xml:space="preserve">Caso de prueba</t>
  </si>
  <si>
    <t xml:space="preserve">Pasos</t>
  </si>
  <si>
    <t xml:space="preserve">Resultado esperado</t>
  </si>
  <si>
    <t xml:space="preserve">Resultado obtenido</t>
  </si>
  <si>
    <t xml:space="preserve">Estado</t>
  </si>
  <si>
    <t xml:space="preserve">Fecha de ejecución</t>
  </si>
  <si>
    <t xml:space="preserve">Observaciones</t>
  </si>
  <si>
    <t xml:space="preserve">PF-AU-01</t>
  </si>
  <si>
    <t xml:space="preserve">Auth</t>
  </si>
  <si>
    <t xml:space="preserve">Registro de usuario desde la interfaz</t>
  </si>
  <si>
    <t xml:space="preserve">1. Ir a /register.
2. Completar nombre, email, contraseña y confirmación.
3. Clic en 'Crear cuenta'.</t>
  </si>
  <si>
    <t xml:space="preserve">Redirige al dashboard. El nombre del usuario aparece en la barra lateral.</t>
  </si>
  <si>
    <t xml:space="preserve">Sin ejecutar</t>
  </si>
  <si>
    <t xml:space="preserve">PF-AU-02</t>
  </si>
  <si>
    <t xml:space="preserve">Validación de campos vacíos</t>
  </si>
  <si>
    <t xml:space="preserve">1. En /login, dejar los campos vacíos.
2. Pulsar 'Iniciar sesión'.</t>
  </si>
  <si>
    <t xml:space="preserve">Se muestra un mensaje de error. No se realiza la petición al backend.</t>
  </si>
  <si>
    <t xml:space="preserve">PF-AU-03</t>
  </si>
  <si>
    <t xml:space="preserve">Login con credenciales incorrectas</t>
  </si>
  <si>
    <t xml:space="preserve">1. Ir a /login.
2. Ingresar email/contraseña incorrectos y enviar.</t>
  </si>
  <si>
    <t xml:space="preserve">Banner rojo con el mensaje 'Correo o contraseña incorrectos'.</t>
  </si>
  <si>
    <t xml:space="preserve">PF-AU-04</t>
  </si>
  <si>
    <t xml:space="preserve">Cerrar sesión</t>
  </si>
  <si>
    <t xml:space="preserve">1. Estando autenticado, clic en 'Cerrar sesión' de la barra lateral.</t>
  </si>
  <si>
    <t xml:space="preserve">Redirige a /login. Se elimina el token de localStorage.</t>
  </si>
  <si>
    <t xml:space="preserve">PF-AU-05</t>
  </si>
  <si>
    <t xml:space="preserve">Persistencia de sesión al recargar</t>
  </si>
  <si>
    <t xml:space="preserve">1. Iniciar sesión.
2. Recargar el navegador (F5).</t>
  </si>
  <si>
    <t xml:space="preserve">El usuario sigue autenticado dentro del dashboard.</t>
  </si>
  <si>
    <t xml:space="preserve">PF-AU-06</t>
  </si>
  <si>
    <t xml:space="preserve">Acceso a ruta privada sin sesión</t>
  </si>
  <si>
    <t xml:space="preserve">1. Sin estar autenticado, escribir /dashboard en la URL.</t>
  </si>
  <si>
    <t xml:space="preserve">Redirige automáticamente a /login.</t>
  </si>
  <si>
    <t xml:space="preserve">PF-DA-01</t>
  </si>
  <si>
    <t xml:space="preserve">Dashboard</t>
  </si>
  <si>
    <t xml:space="preserve">Tarjetas de resumen</t>
  </si>
  <si>
    <t xml:space="preserve">1. Con al menos 1 ingreso y 1 gasto del mes, ir a /dashboard.</t>
  </si>
  <si>
    <t xml:space="preserve">Las tres tarjetas muestran montos formateados en COP.</t>
  </si>
  <si>
    <t xml:space="preserve">PF-DA-02</t>
  </si>
  <si>
    <t xml:space="preserve">Gráfica mensual</t>
  </si>
  <si>
    <t xml:space="preserve">1. Con datos de varios meses, observar la gráfica de barras.</t>
  </si>
  <si>
    <t xml:space="preserve">Se renderiza con barras verdes (ingresos) y rojas (gastos). Tooltips en COP.</t>
  </si>
  <si>
    <t xml:space="preserve">PF-DA-03</t>
  </si>
  <si>
    <t xml:space="preserve">Estado vacío</t>
  </si>
  <si>
    <t xml:space="preserve">1. Con un usuario recién creado y sin datos, entrar al dashboard.</t>
  </si>
  <si>
    <t xml:space="preserve">Mensajes de estado vacío en cada sección. Sin errores en consola.</t>
  </si>
  <si>
    <t xml:space="preserve">PF-DA-04</t>
  </si>
  <si>
    <t xml:space="preserve">Navegación desde las tarjetas</t>
  </si>
  <si>
    <t xml:space="preserve">1. En el dashboard, clic en la tarjeta de Ingresos.</t>
  </si>
  <si>
    <t xml:space="preserve">Redirige a la página /ingresos.</t>
  </si>
  <si>
    <t xml:space="preserve">PF-TX-01</t>
  </si>
  <si>
    <t xml:space="preserve">Transacciones</t>
  </si>
  <si>
    <t xml:space="preserve">Crear ingreso</t>
  </si>
  <si>
    <t xml:space="preserve">1. Ir a /ingresos.
2. Llenar descripción, categoría, monto y fecha.
3. Enviar.</t>
  </si>
  <si>
    <t xml:space="preserve">El ingreso aparece al inicio del listado. El total se actualiza.</t>
  </si>
  <si>
    <t xml:space="preserve">PF-TX-02</t>
  </si>
  <si>
    <t xml:space="preserve">Crear gasto</t>
  </si>
  <si>
    <t xml:space="preserve">1. Ir a /gastos.
2. Llenar el formulario y enviar.</t>
  </si>
  <si>
    <t xml:space="preserve">El gasto aparece en el listado y el total cambia.</t>
  </si>
  <si>
    <t xml:space="preserve">PF-TX-03</t>
  </si>
  <si>
    <t xml:space="preserve">Editar transacción</t>
  </si>
  <si>
    <t xml:space="preserve">1. Clic en 'Editar' de una transacción.
2. Modificar el monto.
3. Guardar.</t>
  </si>
  <si>
    <t xml:space="preserve">El listado refleja el nuevo monto y el total se recalcula.</t>
  </si>
  <si>
    <t xml:space="preserve">PF-TX-04</t>
  </si>
  <si>
    <t xml:space="preserve">Eliminar con confirmación</t>
  </si>
  <si>
    <t xml:space="preserve">1. Clic en el ícono de papelera.
2. Confirmar el diálogo.</t>
  </si>
  <si>
    <t xml:space="preserve">La transacción desaparece del listado. El total se actualiza.</t>
  </si>
  <si>
    <t xml:space="preserve">PF-TX-05</t>
  </si>
  <si>
    <t xml:space="preserve">Validaciones del formulario</t>
  </si>
  <si>
    <t xml:space="preserve">1. Intentar guardar con descripción vacía o monto cero.</t>
  </si>
  <si>
    <t xml:space="preserve">Se muestra un mensaje de error. No se envía la petición.</t>
  </si>
  <si>
    <t xml:space="preserve">PF-ME-01</t>
  </si>
  <si>
    <t xml:space="preserve">Metas</t>
  </si>
  <si>
    <t xml:space="preserve">Crear meta de ahorro</t>
  </si>
  <si>
    <t xml:space="preserve">1. Ir a /metas.
2. Llenar nombre y monto objetivo.
3. Crear meta.</t>
  </si>
  <si>
    <t xml:space="preserve">Aparece la tarjeta de la meta con la barra de progreso al 0%.</t>
  </si>
  <si>
    <t xml:space="preserve">PF-ME-02</t>
  </si>
  <si>
    <t xml:space="preserve">Aportar a una meta</t>
  </si>
  <si>
    <t xml:space="preserve">1. Clic en '+ Aportar'.
2. Ingresar 25000 y confirmar.</t>
  </si>
  <si>
    <t xml:space="preserve">El acumulado aumenta en 25000. La barra y el porcentaje se actualizan.</t>
  </si>
  <si>
    <t xml:space="preserve">PF-ME-03</t>
  </si>
  <si>
    <t xml:space="preserve">Ajustar el acumulado (fijar valor)</t>
  </si>
  <si>
    <t xml:space="preserve">1. Clic en '✎ Ajustar'.
2. El input aparece prellenado.
3. Cambiar a 100000 y confirmar.</t>
  </si>
  <si>
    <t xml:space="preserve">El acumulado queda exactamente en 100000 (reemplaza, no suma).</t>
  </si>
  <si>
    <t xml:space="preserve">PF-ME-04</t>
  </si>
  <si>
    <t xml:space="preserve">Editar meta completa</t>
  </si>
  <si>
    <t xml:space="preserve">1. Clic en 'Editar'.
2. Cambiar nombre, objetivo o fecha límite.
3. Guardar.</t>
  </si>
  <si>
    <t xml:space="preserve">Los cambios se reflejan en la tarjeta de la meta.</t>
  </si>
  <si>
    <t xml:space="preserve">PF-ME-05</t>
  </si>
  <si>
    <t xml:space="preserve">Eliminar meta</t>
  </si>
  <si>
    <t xml:space="preserve">1. Clic en el ícono de papelera de una meta.
2. Confirmar.</t>
  </si>
  <si>
    <t xml:space="preserve">La meta desaparece de la grilla.</t>
  </si>
  <si>
    <t xml:space="preserve">PF-ME-06</t>
  </si>
  <si>
    <t xml:space="preserve">Color de la barra de progreso</t>
  </si>
  <si>
    <t xml:space="preserve">1. Aportar hasta superar el 50%.
2. Aportar hasta el 100%.</t>
  </si>
  <si>
    <t xml:space="preserve">Entre 50–99% la barra es azul; al 100% la barra es verde.</t>
  </si>
  <si>
    <t xml:space="preserve">PF-BU-01</t>
  </si>
  <si>
    <t xml:space="preserve">Presupuesto</t>
  </si>
  <si>
    <t xml:space="preserve">Configurar presupuesto del mes</t>
  </si>
  <si>
    <t xml:space="preserve">1. Ir a /presupuesto.
2. Asignar límites a 2 o 3 categorías.
3. Guardar.</t>
  </si>
  <si>
    <t xml:space="preserve">Banner verde de éxito. Los valores persisten al cambiar de mes y volver.</t>
  </si>
  <si>
    <t xml:space="preserve">PF-BU-02</t>
  </si>
  <si>
    <t xml:space="preserve">Selección de mes</t>
  </si>
  <si>
    <t xml:space="preserve">1. Cambiar el selector de mes a uno anterior.</t>
  </si>
  <si>
    <t xml:space="preserve">Se cargan los límites guardados de ese mes (o vacíos si no existían).</t>
  </si>
  <si>
    <t xml:space="preserve">PF-BU-03</t>
  </si>
  <si>
    <t xml:space="preserve">Semáforo de ejecución</t>
  </si>
  <si>
    <t xml:space="preserve">1. Tener gastos que sumen ~85% del límite de una categoría.</t>
  </si>
  <si>
    <t xml:space="preserve">La barra de esa categoría se muestra en color ámbar.</t>
  </si>
  <si>
    <t xml:space="preserve">PF-BU-04</t>
  </si>
  <si>
    <t xml:space="preserve">Alerta de excesos</t>
  </si>
  <si>
    <t xml:space="preserve">1. Provocar que el gastado supere el límite en una o más categorías.</t>
  </si>
  <si>
    <t xml:space="preserve">Banner rojo de alerta indicando las categorías excedidas.</t>
  </si>
  <si>
    <t xml:space="preserve">PF-RE-01</t>
  </si>
  <si>
    <t xml:space="preserve">Responsivo</t>
  </si>
  <si>
    <t xml:space="preserve">Vista móvil</t>
  </si>
  <si>
    <t xml:space="preserve">1. Redimensionar el navegador a &lt;768 px (o usar DevTools).</t>
  </si>
  <si>
    <t xml:space="preserve">La barra lateral se oculta y aparece la barra de navegación inferior.</t>
  </si>
  <si>
    <t xml:space="preserve">PF-RE-02</t>
  </si>
  <si>
    <t xml:space="preserve">Formularios en móvil</t>
  </si>
  <si>
    <t xml:space="preserve">1. Probar Ingresos y Presupuesto en ancho móvil.</t>
  </si>
  <si>
    <t xml:space="preserve">Los inputs se apilan en una columna. No hay scroll horizontal.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</si>
</sst>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libri"/>
      <family val="0"/>
      <charset val="1"/>
    </font>
    <font>
      <b val="true"/>
      <sz val="11"/>
      <color rgb="FF1E293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0A2342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A2342"/>
      <name val="Consolas"/>
      <family val="0"/>
      <charset val="1"/>
    </font>
    <font>
      <b val="true"/>
      <sz val="10"/>
      <color rgb="FF5B21B6"/>
      <name val="Calibri"/>
      <family val="0"/>
      <charset val="1"/>
    </font>
    <font>
      <b val="true"/>
      <sz val="10"/>
      <color rgb="FF0369A1"/>
      <name val="Calibri"/>
      <family val="0"/>
      <charset val="1"/>
    </font>
    <font>
      <b val="true"/>
      <sz val="10"/>
      <color rgb="FF065F46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b val="true"/>
      <sz val="10"/>
      <color rgb="FF9F1239"/>
      <name val="Calibri"/>
      <family val="0"/>
      <charset val="1"/>
    </font>
    <font>
      <b val="true"/>
      <sz val="10"/>
      <color rgb="FF115E59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A2342"/>
        <bgColor rgb="FF1E293B"/>
      </patternFill>
    </fill>
    <fill>
      <patternFill patternType="solid">
        <fgColor rgb="FFF0F4F8"/>
        <bgColor rgb="FFF1F5F9"/>
      </patternFill>
    </fill>
    <fill>
      <patternFill patternType="solid">
        <fgColor rgb="FF059669"/>
        <bgColor rgb="FF028090"/>
      </patternFill>
    </fill>
    <fill>
      <patternFill patternType="solid">
        <fgColor rgb="FFE11D48"/>
        <bgColor rgb="FF9F1239"/>
      </patternFill>
    </fill>
    <fill>
      <patternFill patternType="solid">
        <fgColor rgb="FFF59E0B"/>
        <bgColor rgb="FFFFCC00"/>
      </patternFill>
    </fill>
    <fill>
      <patternFill patternType="solid">
        <fgColor rgb="FF64748B"/>
        <bgColor rgb="FF808080"/>
      </patternFill>
    </fill>
    <fill>
      <patternFill patternType="solid">
        <fgColor rgb="FF028090"/>
        <bgColor rgb="FF0369A1"/>
      </patternFill>
    </fill>
    <fill>
      <patternFill patternType="solid">
        <fgColor rgb="FFEDE9FE"/>
        <bgColor rgb="FFF0F4F8"/>
      </patternFill>
    </fill>
    <fill>
      <patternFill patternType="solid">
        <fgColor rgb="FFE0F2FE"/>
        <bgColor rgb="FFF0F4F8"/>
      </patternFill>
    </fill>
    <fill>
      <patternFill patternType="solid">
        <fgColor rgb="FFD1FAE5"/>
        <bgColor rgb="FFCCFBF1"/>
      </patternFill>
    </fill>
    <fill>
      <patternFill patternType="solid">
        <fgColor rgb="FFFEF3C7"/>
        <bgColor rgb="FFFFE4E6"/>
      </patternFill>
    </fill>
    <fill>
      <patternFill patternType="solid">
        <fgColor rgb="FFFFE4E6"/>
        <bgColor rgb="FFEDE9FE"/>
      </patternFill>
    </fill>
    <fill>
      <patternFill patternType="solid">
        <fgColor rgb="FFCCFBF1"/>
        <bgColor rgb="FFD1FA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0A234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E4E6"/>
          <bgColor rgb="FF000000"/>
        </patternFill>
      </fill>
    </dxf>
    <dxf>
      <fill>
        <patternFill patternType="solid">
          <fgColor rgb="FF0369A1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115E59"/>
          <bgColor rgb="FF000000"/>
        </patternFill>
      </fill>
    </dxf>
    <dxf>
      <fill>
        <patternFill patternType="solid">
          <fgColor rgb="FF5B21B6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F1239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name val="Calibri"/>
        <charset val="1"/>
        <family val="0"/>
        <b val="1"/>
        <color rgb="FF059669"/>
        <sz val="10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E11D48"/>
        <sz val="10"/>
      </font>
      <fill>
        <patternFill>
          <bgColor rgb="FFFFE4E6"/>
        </patternFill>
      </fill>
    </dxf>
    <dxf>
      <font>
        <name val="Calibri"/>
        <charset val="1"/>
        <family val="0"/>
        <b val="1"/>
        <color rgb="FFB45309"/>
        <sz val="10"/>
      </font>
      <fill>
        <patternFill>
          <bgColor rgb="FFFEF3C7"/>
        </patternFill>
      </fill>
    </dxf>
    <dxf>
      <font>
        <name val="Calibri"/>
        <charset val="1"/>
        <family val="0"/>
        <color rgb="FF64748B"/>
        <sz val="10"/>
      </font>
      <fill>
        <patternFill>
          <bgColor rgb="FFF1F5F9"/>
        </patternFill>
      </fill>
    </dxf>
  </dxfs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9F1239"/>
      <rgbColor rgb="FF065F46"/>
      <rgbColor rgb="FF000080"/>
      <rgbColor rgb="FF808000"/>
      <rgbColor rgb="FF800080"/>
      <rgbColor rgb="FF028090"/>
      <rgbColor rgb="FFF0F4F8"/>
      <rgbColor rgb="FF808080"/>
      <rgbColor rgb="FF9999FF"/>
      <rgbColor rgb="FFB45309"/>
      <rgbColor rgb="FFFEF3C7"/>
      <rgbColor rgb="FFCCFBF1"/>
      <rgbColor rgb="FF660066"/>
      <rgbColor rgb="FFFF8080"/>
      <rgbColor rgb="FF0369A1"/>
      <rgbColor rgb="FFEDE9FE"/>
      <rgbColor rgb="FF000080"/>
      <rgbColor rgb="FFFF00FF"/>
      <rgbColor rgb="FFFFFF00"/>
      <rgbColor rgb="FF00FFFF"/>
      <rgbColor rgb="FF800080"/>
      <rgbColor rgb="FF800000"/>
      <rgbColor rgb="FF059669"/>
      <rgbColor rgb="FF0000FF"/>
      <rgbColor rgb="FF00CCFF"/>
      <rgbColor rgb="FFE0F2FE"/>
      <rgbColor rgb="FFD1FAE5"/>
      <rgbColor rgb="FFF1F5F9"/>
      <rgbColor rgb="FF99CCFF"/>
      <rgbColor rgb="FFFF99CC"/>
      <rgbColor rgb="FFCC99FF"/>
      <rgbColor rgb="FFFFE4E6"/>
      <rgbColor rgb="FF3366FF"/>
      <rgbColor rgb="FF33CCCC"/>
      <rgbColor rgb="FF99CC00"/>
      <rgbColor rgb="FFFFCC00"/>
      <rgbColor rgb="FFF59E0B"/>
      <rgbColor rgb="FFFF6600"/>
      <rgbColor rgb="FF64748B"/>
      <rgbColor rgb="FF969696"/>
      <rgbColor rgb="FF0A2342"/>
      <rgbColor rgb="FF339966"/>
      <rgbColor rgb="FF115E59"/>
      <rgbColor rgb="FF333300"/>
      <rgbColor rgb="FF92400E"/>
      <rgbColor rgb="FF993366"/>
      <rgbColor rgb="FF5B21B6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sosFrontend" displayName="CasosFrontend" ref="A4:I31" headerRowCount="1" totalsRowCount="0" totalsRowShown="0">
  <autoFilter ref="A4:I31"/>
  <tableColumns count="9">
    <tableColumn id="1" name="ID"/>
    <tableColumn id="2" name="Módulo"/>
    <tableColumn id="3" name="Caso de prueba"/>
    <tableColumn id="4" name="Pasos"/>
    <tableColumn id="5" name="Resultado esperado"/>
    <tableColumn id="6" name="Resultado obtenido"/>
    <tableColumn id="7" name="Estado"/>
    <tableColumn id="8" name="Fecha de ejecución"/>
    <tableColumn id="9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3" customFormat="false" ht="24" hidden="false" customHeight="true" outlineLevel="0" collapsed="false">
      <c r="A3" s="2" t="s">
        <v>1</v>
      </c>
      <c r="B3" s="3" t="n">
        <f aca="false">COUNTA(CasosFrontend[ID])</f>
        <v>27</v>
      </c>
    </row>
    <row r="4" customFormat="false" ht="24" hidden="false" customHeight="true" outlineLevel="0" collapsed="false">
      <c r="A4" s="2" t="s">
        <v>2</v>
      </c>
      <c r="B4" s="4" t="n">
        <f aca="false">COUNTIF(CasosFrontend[Estado],"Pasó")</f>
        <v>0</v>
      </c>
    </row>
    <row r="5" customFormat="false" ht="24" hidden="false" customHeight="true" outlineLevel="0" collapsed="false">
      <c r="A5" s="2" t="s">
        <v>3</v>
      </c>
      <c r="B5" s="5" t="n">
        <f aca="false">COUNTIF(CasosFrontend[Estado],"Falló")</f>
        <v>0</v>
      </c>
    </row>
    <row r="6" customFormat="false" ht="24" hidden="false" customHeight="true" outlineLevel="0" collapsed="false">
      <c r="A6" s="2" t="s">
        <v>4</v>
      </c>
      <c r="B6" s="6" t="n">
        <f aca="false">COUNTIF(CasosFrontend[Estado],"Bloqueado")</f>
        <v>0</v>
      </c>
    </row>
    <row r="7" customFormat="false" ht="24" hidden="false" customHeight="true" outlineLevel="0" collapsed="false">
      <c r="A7" s="2" t="s">
        <v>5</v>
      </c>
      <c r="B7" s="7" t="n">
        <f aca="false">COUNTIF(CasosFrontend[Estado],"Sin ejecutar")</f>
        <v>27</v>
      </c>
    </row>
    <row r="8" customFormat="false" ht="24" hidden="false" customHeight="true" outlineLevel="0" collapsed="false">
      <c r="A8" s="2" t="s">
        <v>6</v>
      </c>
      <c r="B8" s="8" t="n">
        <f aca="false">IFERROR(B4/B3, 0)</f>
        <v>0</v>
      </c>
    </row>
    <row r="10" customFormat="false" ht="15" hidden="false" customHeight="false" outlineLevel="0" collapsed="false">
      <c r="A10" s="9" t="s">
        <v>7</v>
      </c>
    </row>
    <row r="11" customFormat="false" ht="15" hidden="false" customHeight="false" outlineLevel="0" collapsed="false">
      <c r="A11" s="10" t="s">
        <v>8</v>
      </c>
      <c r="B11" s="10"/>
      <c r="C11" s="10"/>
      <c r="D11" s="10"/>
    </row>
    <row r="12" customFormat="false" ht="15" hidden="false" customHeight="false" outlineLevel="0" collapsed="false">
      <c r="A12" s="10" t="s">
        <v>9</v>
      </c>
      <c r="B12" s="10"/>
      <c r="C12" s="10"/>
      <c r="D12" s="10"/>
    </row>
    <row r="13" customFormat="false" ht="15" hidden="false" customHeight="false" outlineLevel="0" collapsed="false">
      <c r="A13" s="10" t="s">
        <v>10</v>
      </c>
      <c r="B13" s="10"/>
      <c r="C13" s="10"/>
      <c r="D13" s="10"/>
    </row>
    <row r="14" customFormat="false" ht="15" hidden="false" customHeight="false" outlineLevel="0" collapsed="false">
      <c r="A14" s="10" t="s">
        <v>11</v>
      </c>
      <c r="B14" s="10"/>
      <c r="C14" s="10"/>
      <c r="D14" s="10"/>
    </row>
    <row r="15" customFormat="false" ht="15" hidden="false" customHeight="false" outlineLevel="0" collapsed="false">
      <c r="A15" s="10" t="s">
        <v>12</v>
      </c>
      <c r="B15" s="10"/>
      <c r="C15" s="10"/>
      <c r="D15" s="10"/>
    </row>
    <row r="16" customFormat="false" ht="15" hidden="false" customHeight="false" outlineLevel="0" collapsed="false">
      <c r="A16" s="10" t="s">
        <v>13</v>
      </c>
      <c r="B16" s="10"/>
      <c r="C16" s="10"/>
      <c r="D16" s="10"/>
    </row>
    <row r="17" customFormat="false" ht="15" hidden="false" customHeight="false" outlineLevel="0" collapsed="false">
      <c r="A17" s="10" t="s">
        <v>14</v>
      </c>
      <c r="B17" s="10"/>
      <c r="C17" s="10"/>
      <c r="D17" s="10"/>
    </row>
    <row r="18" customFormat="false" ht="15" hidden="false" customHeight="false" outlineLevel="0" collapsed="false">
      <c r="A18" s="10" t="s">
        <v>15</v>
      </c>
      <c r="B18" s="10"/>
      <c r="C18" s="10"/>
      <c r="D18" s="10"/>
    </row>
  </sheetData>
  <mergeCells count="9">
    <mergeCell ref="A1:D1"/>
    <mergeCell ref="A11:D11"/>
    <mergeCell ref="A12:D12"/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4"/>
  </cols>
  <sheetData>
    <row r="1" customFormat="false" ht="27.75" hidden="false" customHeight="true" outlineLevel="0" collapsed="false">
      <c r="A1" s="11" t="s">
        <v>16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17</v>
      </c>
      <c r="B2" s="12"/>
      <c r="C2" s="12"/>
      <c r="D2" s="12"/>
      <c r="E2" s="12"/>
      <c r="F2" s="12"/>
      <c r="G2" s="12"/>
      <c r="H2" s="12"/>
      <c r="I2" s="12"/>
    </row>
    <row r="4" customFormat="false" ht="31.5" hidden="false" customHeight="true" outlineLevel="0" collapsed="false">
      <c r="A4" s="13" t="s">
        <v>18</v>
      </c>
      <c r="B4" s="13" t="s">
        <v>19</v>
      </c>
      <c r="C4" s="13" t="s">
        <v>20</v>
      </c>
      <c r="D4" s="13" t="s">
        <v>21</v>
      </c>
      <c r="E4" s="13" t="s">
        <v>22</v>
      </c>
      <c r="F4" s="13" t="s">
        <v>23</v>
      </c>
      <c r="G4" s="13" t="s">
        <v>24</v>
      </c>
      <c r="H4" s="13" t="s">
        <v>25</v>
      </c>
      <c r="I4" s="13" t="s">
        <v>26</v>
      </c>
    </row>
    <row r="5" customFormat="false" ht="60" hidden="false" customHeight="true" outlineLevel="0" collapsed="false">
      <c r="A5" s="14" t="s">
        <v>27</v>
      </c>
      <c r="B5" s="15" t="s">
        <v>28</v>
      </c>
      <c r="C5" s="16" t="s">
        <v>29</v>
      </c>
      <c r="D5" s="16" t="s">
        <v>30</v>
      </c>
      <c r="E5" s="16" t="s">
        <v>31</v>
      </c>
      <c r="F5" s="16"/>
      <c r="G5" s="17" t="s">
        <v>32</v>
      </c>
      <c r="H5" s="17"/>
      <c r="I5" s="16"/>
    </row>
    <row r="6" customFormat="false" ht="60" hidden="false" customHeight="true" outlineLevel="0" collapsed="false">
      <c r="A6" s="14" t="s">
        <v>33</v>
      </c>
      <c r="B6" s="15" t="s">
        <v>28</v>
      </c>
      <c r="C6" s="16" t="s">
        <v>34</v>
      </c>
      <c r="D6" s="16" t="s">
        <v>35</v>
      </c>
      <c r="E6" s="16" t="s">
        <v>36</v>
      </c>
      <c r="F6" s="16"/>
      <c r="G6" s="17" t="s">
        <v>32</v>
      </c>
      <c r="H6" s="17"/>
      <c r="I6" s="16"/>
    </row>
    <row r="7" customFormat="false" ht="60" hidden="false" customHeight="true" outlineLevel="0" collapsed="false">
      <c r="A7" s="14" t="s">
        <v>37</v>
      </c>
      <c r="B7" s="15" t="s">
        <v>28</v>
      </c>
      <c r="C7" s="16" t="s">
        <v>38</v>
      </c>
      <c r="D7" s="16" t="s">
        <v>39</v>
      </c>
      <c r="E7" s="16" t="s">
        <v>40</v>
      </c>
      <c r="F7" s="16"/>
      <c r="G7" s="17" t="s">
        <v>32</v>
      </c>
      <c r="H7" s="17"/>
      <c r="I7" s="16"/>
    </row>
    <row r="8" customFormat="false" ht="60" hidden="false" customHeight="true" outlineLevel="0" collapsed="false">
      <c r="A8" s="14" t="s">
        <v>41</v>
      </c>
      <c r="B8" s="15" t="s">
        <v>28</v>
      </c>
      <c r="C8" s="16" t="s">
        <v>42</v>
      </c>
      <c r="D8" s="16" t="s">
        <v>43</v>
      </c>
      <c r="E8" s="16" t="s">
        <v>44</v>
      </c>
      <c r="F8" s="16"/>
      <c r="G8" s="17" t="s">
        <v>32</v>
      </c>
      <c r="H8" s="17"/>
      <c r="I8" s="16"/>
    </row>
    <row r="9" customFormat="false" ht="60" hidden="false" customHeight="true" outlineLevel="0" collapsed="false">
      <c r="A9" s="14" t="s">
        <v>45</v>
      </c>
      <c r="B9" s="15" t="s">
        <v>28</v>
      </c>
      <c r="C9" s="16" t="s">
        <v>46</v>
      </c>
      <c r="D9" s="16" t="s">
        <v>47</v>
      </c>
      <c r="E9" s="16" t="s">
        <v>48</v>
      </c>
      <c r="F9" s="16"/>
      <c r="G9" s="17" t="s">
        <v>32</v>
      </c>
      <c r="H9" s="17"/>
      <c r="I9" s="16"/>
    </row>
    <row r="10" customFormat="false" ht="60" hidden="false" customHeight="true" outlineLevel="0" collapsed="false">
      <c r="A10" s="14" t="s">
        <v>49</v>
      </c>
      <c r="B10" s="15" t="s">
        <v>28</v>
      </c>
      <c r="C10" s="16" t="s">
        <v>50</v>
      </c>
      <c r="D10" s="16" t="s">
        <v>51</v>
      </c>
      <c r="E10" s="16" t="s">
        <v>52</v>
      </c>
      <c r="F10" s="16"/>
      <c r="G10" s="17" t="s">
        <v>32</v>
      </c>
      <c r="H10" s="17"/>
      <c r="I10" s="16"/>
    </row>
    <row r="11" customFormat="false" ht="60" hidden="false" customHeight="true" outlineLevel="0" collapsed="false">
      <c r="A11" s="14" t="s">
        <v>53</v>
      </c>
      <c r="B11" s="18" t="s">
        <v>54</v>
      </c>
      <c r="C11" s="16" t="s">
        <v>55</v>
      </c>
      <c r="D11" s="16" t="s">
        <v>56</v>
      </c>
      <c r="E11" s="16" t="s">
        <v>57</v>
      </c>
      <c r="F11" s="16"/>
      <c r="G11" s="17" t="s">
        <v>32</v>
      </c>
      <c r="H11" s="17"/>
      <c r="I11" s="16"/>
    </row>
    <row r="12" customFormat="false" ht="60" hidden="false" customHeight="true" outlineLevel="0" collapsed="false">
      <c r="A12" s="14" t="s">
        <v>58</v>
      </c>
      <c r="B12" s="18" t="s">
        <v>54</v>
      </c>
      <c r="C12" s="16" t="s">
        <v>59</v>
      </c>
      <c r="D12" s="16" t="s">
        <v>60</v>
      </c>
      <c r="E12" s="16" t="s">
        <v>61</v>
      </c>
      <c r="F12" s="16"/>
      <c r="G12" s="17" t="s">
        <v>32</v>
      </c>
      <c r="H12" s="17"/>
      <c r="I12" s="16"/>
    </row>
    <row r="13" customFormat="false" ht="60" hidden="false" customHeight="true" outlineLevel="0" collapsed="false">
      <c r="A13" s="14" t="s">
        <v>62</v>
      </c>
      <c r="B13" s="18" t="s">
        <v>54</v>
      </c>
      <c r="C13" s="16" t="s">
        <v>63</v>
      </c>
      <c r="D13" s="16" t="s">
        <v>64</v>
      </c>
      <c r="E13" s="16" t="s">
        <v>65</v>
      </c>
      <c r="F13" s="16"/>
      <c r="G13" s="17" t="s">
        <v>32</v>
      </c>
      <c r="H13" s="17"/>
      <c r="I13" s="16"/>
    </row>
    <row r="14" customFormat="false" ht="60" hidden="false" customHeight="true" outlineLevel="0" collapsed="false">
      <c r="A14" s="14" t="s">
        <v>66</v>
      </c>
      <c r="B14" s="18" t="s">
        <v>54</v>
      </c>
      <c r="C14" s="16" t="s">
        <v>67</v>
      </c>
      <c r="D14" s="16" t="s">
        <v>68</v>
      </c>
      <c r="E14" s="16" t="s">
        <v>69</v>
      </c>
      <c r="F14" s="16"/>
      <c r="G14" s="17" t="s">
        <v>32</v>
      </c>
      <c r="H14" s="17"/>
      <c r="I14" s="16"/>
    </row>
    <row r="15" customFormat="false" ht="60" hidden="false" customHeight="true" outlineLevel="0" collapsed="false">
      <c r="A15" s="14" t="s">
        <v>70</v>
      </c>
      <c r="B15" s="19" t="s">
        <v>71</v>
      </c>
      <c r="C15" s="16" t="s">
        <v>72</v>
      </c>
      <c r="D15" s="16" t="s">
        <v>73</v>
      </c>
      <c r="E15" s="16" t="s">
        <v>74</v>
      </c>
      <c r="F15" s="16"/>
      <c r="G15" s="17" t="s">
        <v>32</v>
      </c>
      <c r="H15" s="17"/>
      <c r="I15" s="16"/>
    </row>
    <row r="16" customFormat="false" ht="60" hidden="false" customHeight="true" outlineLevel="0" collapsed="false">
      <c r="A16" s="14" t="s">
        <v>75</v>
      </c>
      <c r="B16" s="19" t="s">
        <v>71</v>
      </c>
      <c r="C16" s="16" t="s">
        <v>76</v>
      </c>
      <c r="D16" s="16" t="s">
        <v>77</v>
      </c>
      <c r="E16" s="16" t="s">
        <v>78</v>
      </c>
      <c r="F16" s="16"/>
      <c r="G16" s="17" t="s">
        <v>32</v>
      </c>
      <c r="H16" s="17"/>
      <c r="I16" s="16"/>
    </row>
    <row r="17" customFormat="false" ht="60" hidden="false" customHeight="true" outlineLevel="0" collapsed="false">
      <c r="A17" s="14" t="s">
        <v>79</v>
      </c>
      <c r="B17" s="19" t="s">
        <v>71</v>
      </c>
      <c r="C17" s="16" t="s">
        <v>80</v>
      </c>
      <c r="D17" s="16" t="s">
        <v>81</v>
      </c>
      <c r="E17" s="16" t="s">
        <v>82</v>
      </c>
      <c r="F17" s="16"/>
      <c r="G17" s="17" t="s">
        <v>32</v>
      </c>
      <c r="H17" s="17"/>
      <c r="I17" s="16"/>
    </row>
    <row r="18" customFormat="false" ht="60" hidden="false" customHeight="true" outlineLevel="0" collapsed="false">
      <c r="A18" s="14" t="s">
        <v>83</v>
      </c>
      <c r="B18" s="19" t="s">
        <v>71</v>
      </c>
      <c r="C18" s="16" t="s">
        <v>84</v>
      </c>
      <c r="D18" s="16" t="s">
        <v>85</v>
      </c>
      <c r="E18" s="16" t="s">
        <v>86</v>
      </c>
      <c r="F18" s="16"/>
      <c r="G18" s="17" t="s">
        <v>32</v>
      </c>
      <c r="H18" s="17"/>
      <c r="I18" s="16"/>
    </row>
    <row r="19" customFormat="false" ht="60" hidden="false" customHeight="true" outlineLevel="0" collapsed="false">
      <c r="A19" s="14" t="s">
        <v>87</v>
      </c>
      <c r="B19" s="19" t="s">
        <v>71</v>
      </c>
      <c r="C19" s="16" t="s">
        <v>88</v>
      </c>
      <c r="D19" s="16" t="s">
        <v>89</v>
      </c>
      <c r="E19" s="16" t="s">
        <v>90</v>
      </c>
      <c r="F19" s="16"/>
      <c r="G19" s="17" t="s">
        <v>32</v>
      </c>
      <c r="H19" s="17"/>
      <c r="I19" s="16"/>
    </row>
    <row r="20" customFormat="false" ht="60" hidden="false" customHeight="true" outlineLevel="0" collapsed="false">
      <c r="A20" s="14" t="s">
        <v>91</v>
      </c>
      <c r="B20" s="20" t="s">
        <v>92</v>
      </c>
      <c r="C20" s="16" t="s">
        <v>93</v>
      </c>
      <c r="D20" s="16" t="s">
        <v>94</v>
      </c>
      <c r="E20" s="16" t="s">
        <v>95</v>
      </c>
      <c r="F20" s="16"/>
      <c r="G20" s="17" t="s">
        <v>32</v>
      </c>
      <c r="H20" s="17"/>
      <c r="I20" s="16"/>
    </row>
    <row r="21" customFormat="false" ht="60" hidden="false" customHeight="true" outlineLevel="0" collapsed="false">
      <c r="A21" s="14" t="s">
        <v>96</v>
      </c>
      <c r="B21" s="20" t="s">
        <v>92</v>
      </c>
      <c r="C21" s="16" t="s">
        <v>97</v>
      </c>
      <c r="D21" s="16" t="s">
        <v>98</v>
      </c>
      <c r="E21" s="16" t="s">
        <v>99</v>
      </c>
      <c r="F21" s="16"/>
      <c r="G21" s="17" t="s">
        <v>32</v>
      </c>
      <c r="H21" s="17"/>
      <c r="I21" s="16"/>
    </row>
    <row r="22" customFormat="false" ht="60" hidden="false" customHeight="true" outlineLevel="0" collapsed="false">
      <c r="A22" s="14" t="s">
        <v>100</v>
      </c>
      <c r="B22" s="20" t="s">
        <v>92</v>
      </c>
      <c r="C22" s="16" t="s">
        <v>101</v>
      </c>
      <c r="D22" s="16" t="s">
        <v>102</v>
      </c>
      <c r="E22" s="16" t="s">
        <v>103</v>
      </c>
      <c r="F22" s="16"/>
      <c r="G22" s="17" t="s">
        <v>32</v>
      </c>
      <c r="H22" s="17"/>
      <c r="I22" s="16"/>
    </row>
    <row r="23" customFormat="false" ht="60" hidden="false" customHeight="true" outlineLevel="0" collapsed="false">
      <c r="A23" s="14" t="s">
        <v>104</v>
      </c>
      <c r="B23" s="20" t="s">
        <v>92</v>
      </c>
      <c r="C23" s="16" t="s">
        <v>105</v>
      </c>
      <c r="D23" s="16" t="s">
        <v>106</v>
      </c>
      <c r="E23" s="16" t="s">
        <v>107</v>
      </c>
      <c r="F23" s="16"/>
      <c r="G23" s="17" t="s">
        <v>32</v>
      </c>
      <c r="H23" s="17"/>
      <c r="I23" s="16"/>
    </row>
    <row r="24" customFormat="false" ht="60" hidden="false" customHeight="true" outlineLevel="0" collapsed="false">
      <c r="A24" s="14" t="s">
        <v>108</v>
      </c>
      <c r="B24" s="20" t="s">
        <v>92</v>
      </c>
      <c r="C24" s="16" t="s">
        <v>109</v>
      </c>
      <c r="D24" s="16" t="s">
        <v>110</v>
      </c>
      <c r="E24" s="16" t="s">
        <v>111</v>
      </c>
      <c r="F24" s="16"/>
      <c r="G24" s="17" t="s">
        <v>32</v>
      </c>
      <c r="H24" s="17"/>
      <c r="I24" s="16"/>
    </row>
    <row r="25" customFormat="false" ht="60" hidden="false" customHeight="true" outlineLevel="0" collapsed="false">
      <c r="A25" s="14" t="s">
        <v>112</v>
      </c>
      <c r="B25" s="20" t="s">
        <v>92</v>
      </c>
      <c r="C25" s="16" t="s">
        <v>113</v>
      </c>
      <c r="D25" s="16" t="s">
        <v>114</v>
      </c>
      <c r="E25" s="16" t="s">
        <v>115</v>
      </c>
      <c r="F25" s="16"/>
      <c r="G25" s="17" t="s">
        <v>32</v>
      </c>
      <c r="H25" s="17"/>
      <c r="I25" s="16"/>
    </row>
    <row r="26" customFormat="false" ht="60" hidden="false" customHeight="true" outlineLevel="0" collapsed="false">
      <c r="A26" s="14" t="s">
        <v>116</v>
      </c>
      <c r="B26" s="21" t="s">
        <v>117</v>
      </c>
      <c r="C26" s="16" t="s">
        <v>118</v>
      </c>
      <c r="D26" s="16" t="s">
        <v>119</v>
      </c>
      <c r="E26" s="16" t="s">
        <v>120</v>
      </c>
      <c r="F26" s="16"/>
      <c r="G26" s="17" t="s">
        <v>32</v>
      </c>
      <c r="H26" s="17"/>
      <c r="I26" s="16"/>
    </row>
    <row r="27" customFormat="false" ht="60" hidden="false" customHeight="true" outlineLevel="0" collapsed="false">
      <c r="A27" s="14" t="s">
        <v>121</v>
      </c>
      <c r="B27" s="21" t="s">
        <v>117</v>
      </c>
      <c r="C27" s="16" t="s">
        <v>122</v>
      </c>
      <c r="D27" s="16" t="s">
        <v>123</v>
      </c>
      <c r="E27" s="16" t="s">
        <v>124</v>
      </c>
      <c r="F27" s="16"/>
      <c r="G27" s="17" t="s">
        <v>32</v>
      </c>
      <c r="H27" s="17"/>
      <c r="I27" s="16"/>
    </row>
    <row r="28" customFormat="false" ht="60" hidden="false" customHeight="true" outlineLevel="0" collapsed="false">
      <c r="A28" s="14" t="s">
        <v>125</v>
      </c>
      <c r="B28" s="21" t="s">
        <v>117</v>
      </c>
      <c r="C28" s="16" t="s">
        <v>126</v>
      </c>
      <c r="D28" s="16" t="s">
        <v>127</v>
      </c>
      <c r="E28" s="16" t="s">
        <v>128</v>
      </c>
      <c r="F28" s="16"/>
      <c r="G28" s="17" t="s">
        <v>32</v>
      </c>
      <c r="H28" s="17"/>
      <c r="I28" s="16"/>
    </row>
    <row r="29" customFormat="false" ht="60" hidden="false" customHeight="true" outlineLevel="0" collapsed="false">
      <c r="A29" s="14" t="s">
        <v>129</v>
      </c>
      <c r="B29" s="21" t="s">
        <v>117</v>
      </c>
      <c r="C29" s="16" t="s">
        <v>130</v>
      </c>
      <c r="D29" s="16" t="s">
        <v>131</v>
      </c>
      <c r="E29" s="16" t="s">
        <v>132</v>
      </c>
      <c r="F29" s="16"/>
      <c r="G29" s="17" t="s">
        <v>32</v>
      </c>
      <c r="H29" s="17"/>
      <c r="I29" s="16"/>
    </row>
    <row r="30" customFormat="false" ht="60" hidden="false" customHeight="true" outlineLevel="0" collapsed="false">
      <c r="A30" s="14" t="s">
        <v>133</v>
      </c>
      <c r="B30" s="22" t="s">
        <v>134</v>
      </c>
      <c r="C30" s="16" t="s">
        <v>135</v>
      </c>
      <c r="D30" s="16" t="s">
        <v>136</v>
      </c>
      <c r="E30" s="16" t="s">
        <v>137</v>
      </c>
      <c r="F30" s="16"/>
      <c r="G30" s="17" t="s">
        <v>32</v>
      </c>
      <c r="H30" s="17"/>
      <c r="I30" s="16"/>
    </row>
    <row r="31" customFormat="false" ht="60" hidden="false" customHeight="true" outlineLevel="0" collapsed="false">
      <c r="A31" s="14" t="s">
        <v>138</v>
      </c>
      <c r="B31" s="22" t="s">
        <v>134</v>
      </c>
      <c r="C31" s="16" t="s">
        <v>139</v>
      </c>
      <c r="D31" s="16" t="s">
        <v>140</v>
      </c>
      <c r="E31" s="16" t="s">
        <v>141</v>
      </c>
      <c r="F31" s="16"/>
      <c r="G31" s="17" t="s">
        <v>32</v>
      </c>
      <c r="H31" s="17"/>
      <c r="I31" s="16"/>
    </row>
  </sheetData>
  <mergeCells count="2">
    <mergeCell ref="A1:I1"/>
    <mergeCell ref="A2:I2"/>
  </mergeCells>
  <conditionalFormatting sqref="G5:G500">
    <cfRule type="cellIs" priority="2" operator="equal" aboveAverage="0" equalAverage="0" bottom="0" percent="0" rank="0" text="" dxfId="18">
      <formula>"Pasó"</formula>
    </cfRule>
    <cfRule type="cellIs" priority="3" operator="equal" aboveAverage="0" equalAverage="0" bottom="0" percent="0" rank="0" text="" dxfId="19">
      <formula>"Falló"</formula>
    </cfRule>
    <cfRule type="cellIs" priority="4" operator="equal" aboveAverage="0" equalAverage="0" bottom="0" percent="0" rank="0" text="" dxfId="20">
      <formula>"Bloqueado"</formula>
    </cfRule>
    <cfRule type="cellIs" priority="5" operator="equal" aboveAverage="0" equalAverage="0" bottom="0" percent="0" rank="0" text="" dxfId="21">
      <formula>"Sin ejecutar"</formula>
    </cfRule>
  </conditionalFormatting>
  <dataValidations count="1">
    <dataValidation allowBlank="true" errorStyle="stop" operator="between" showDropDown="false" showErrorMessage="false" showInputMessage="false" sqref="G5:G500" type="list">
      <formula1>"Pasó,Falló,Bloqueado,Sin ejecutar"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2026-05-21T04:15:36Z</dcterms:created>
  <dc:creator>openpyxl</dc:creator>
  <dc:description/>
  <dc:language>en-US</dc:language>
  <cp:lastModifiedBy/>
  <dcterms:modified xsi:type="dcterms:W3CDTF">2026-05-21T04:15:36Z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